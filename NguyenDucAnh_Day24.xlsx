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aaaaa\Track1_Day24_NguyenDucAnh_2A202601063\"/>
    </mc:Choice>
  </mc:AlternateContent>
  <xr:revisionPtr revIDLastSave="0" documentId="13_ncr:1_{9AC88677-2A2F-4931-93B7-C7D73F30A0B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. Assumptions" sheetId="1" r:id="rId1"/>
    <sheet name="2. Unit Economics" sheetId="2" r:id="rId2"/>
    <sheet name="3. P&amp;L &amp; RO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3" l="1"/>
  <c r="D39" i="3"/>
  <c r="D37" i="3"/>
  <c r="C6" i="3"/>
  <c r="C15" i="3" s="1"/>
  <c r="E18" i="2"/>
  <c r="D18" i="2"/>
  <c r="C18" i="2"/>
  <c r="E14" i="2"/>
  <c r="C14" i="2"/>
  <c r="E8" i="2"/>
  <c r="D8" i="2"/>
  <c r="C8" i="2"/>
  <c r="E36" i="1"/>
  <c r="D36" i="1"/>
  <c r="C36" i="1"/>
  <c r="E28" i="1"/>
  <c r="D28" i="1"/>
  <c r="C28" i="1"/>
  <c r="E19" i="1"/>
  <c r="D19" i="1"/>
  <c r="D14" i="2" s="1"/>
  <c r="C19" i="1"/>
  <c r="E15" i="1"/>
  <c r="E9" i="2" s="1"/>
  <c r="D15" i="1"/>
  <c r="D9" i="2" s="1"/>
  <c r="D10" i="2" s="1"/>
  <c r="C15" i="1"/>
  <c r="C9" i="2" s="1"/>
  <c r="C10" i="2" s="1"/>
  <c r="C13" i="3" l="1"/>
  <c r="C12" i="3"/>
  <c r="C11" i="3"/>
  <c r="D38" i="3"/>
  <c r="C14" i="3"/>
  <c r="N29" i="3" s="1"/>
  <c r="D15" i="2"/>
  <c r="D21" i="2" s="1"/>
  <c r="D11" i="2"/>
  <c r="V29" i="3"/>
  <c r="T29" i="3"/>
  <c r="L29" i="3"/>
  <c r="D29" i="3"/>
  <c r="C29" i="3"/>
  <c r="U29" i="3"/>
  <c r="M29" i="3"/>
  <c r="K29" i="3"/>
  <c r="X29" i="3"/>
  <c r="H29" i="3"/>
  <c r="O29" i="3"/>
  <c r="J29" i="3"/>
  <c r="Y29" i="3"/>
  <c r="R29" i="3"/>
  <c r="Z29" i="3"/>
  <c r="Q29" i="3"/>
  <c r="P29" i="3"/>
  <c r="I29" i="3"/>
  <c r="E22" i="2"/>
  <c r="E10" i="2"/>
  <c r="C22" i="2"/>
  <c r="C11" i="2"/>
  <c r="C15" i="2"/>
  <c r="C21" i="2" s="1"/>
  <c r="C25" i="2" s="1"/>
  <c r="D22" i="2"/>
  <c r="C10" i="3"/>
  <c r="C16" i="3"/>
  <c r="C8" i="3"/>
  <c r="C17" i="3"/>
  <c r="C9" i="3"/>
  <c r="G29" i="3" l="1"/>
  <c r="S29" i="3"/>
  <c r="F29" i="3"/>
  <c r="W29" i="3"/>
  <c r="E29" i="3"/>
  <c r="S22" i="3"/>
  <c r="S28" i="3" s="1"/>
  <c r="K22" i="3"/>
  <c r="K28" i="3" s="1"/>
  <c r="C22" i="3"/>
  <c r="Y22" i="3"/>
  <c r="Y28" i="3" s="1"/>
  <c r="Q22" i="3"/>
  <c r="Q28" i="3" s="1"/>
  <c r="I22" i="3"/>
  <c r="I28" i="3" s="1"/>
  <c r="Z22" i="3"/>
  <c r="Z28" i="3" s="1"/>
  <c r="R22" i="3"/>
  <c r="R28" i="3" s="1"/>
  <c r="J22" i="3"/>
  <c r="J28" i="3" s="1"/>
  <c r="T22" i="3"/>
  <c r="T28" i="3" s="1"/>
  <c r="F22" i="3"/>
  <c r="F28" i="3" s="1"/>
  <c r="W22" i="3"/>
  <c r="W28" i="3" s="1"/>
  <c r="V22" i="3"/>
  <c r="V28" i="3" s="1"/>
  <c r="G22" i="3"/>
  <c r="G28" i="3" s="1"/>
  <c r="P22" i="3"/>
  <c r="P28" i="3" s="1"/>
  <c r="E22" i="3"/>
  <c r="E28" i="3" s="1"/>
  <c r="O22" i="3"/>
  <c r="O28" i="3" s="1"/>
  <c r="D22" i="3"/>
  <c r="D28" i="3" s="1"/>
  <c r="H22" i="3"/>
  <c r="H28" i="3" s="1"/>
  <c r="N22" i="3"/>
  <c r="N28" i="3" s="1"/>
  <c r="X22" i="3"/>
  <c r="X28" i="3" s="1"/>
  <c r="M22" i="3"/>
  <c r="M28" i="3" s="1"/>
  <c r="L22" i="3"/>
  <c r="L28" i="3" s="1"/>
  <c r="U22" i="3"/>
  <c r="U28" i="3" s="1"/>
  <c r="E15" i="2"/>
  <c r="E21" i="2" s="1"/>
  <c r="E25" i="2" s="1"/>
  <c r="E11" i="2"/>
  <c r="AA29" i="3"/>
  <c r="D25" i="2"/>
  <c r="AA22" i="3" l="1"/>
  <c r="C28" i="3"/>
  <c r="AA28" i="3" s="1"/>
  <c r="C23" i="3"/>
  <c r="C26" i="3" l="1"/>
  <c r="D23" i="3"/>
  <c r="C25" i="3"/>
  <c r="C27" i="3" l="1"/>
  <c r="E23" i="3"/>
  <c r="D25" i="3"/>
  <c r="D26" i="3"/>
  <c r="D27" i="3" l="1"/>
  <c r="D30" i="3" s="1"/>
  <c r="D32" i="3" s="1"/>
  <c r="F23" i="3"/>
  <c r="E26" i="3"/>
  <c r="E25" i="3"/>
  <c r="E27" i="3" s="1"/>
  <c r="E30" i="3" s="1"/>
  <c r="E32" i="3" s="1"/>
  <c r="C30" i="3"/>
  <c r="C32" i="3" l="1"/>
  <c r="F26" i="3"/>
  <c r="G23" i="3"/>
  <c r="F25" i="3"/>
  <c r="F27" i="3" l="1"/>
  <c r="G26" i="3"/>
  <c r="H23" i="3"/>
  <c r="G25" i="3"/>
  <c r="G27" i="3" s="1"/>
  <c r="G30" i="3" s="1"/>
  <c r="G32" i="3" s="1"/>
  <c r="C41" i="3"/>
  <c r="C33" i="3"/>
  <c r="H25" i="3" l="1"/>
  <c r="H26" i="3"/>
  <c r="I23" i="3"/>
  <c r="D33" i="3"/>
  <c r="E33" i="3" s="1"/>
  <c r="D41" i="3"/>
  <c r="E41" i="3" s="1"/>
  <c r="F30" i="3"/>
  <c r="H27" i="3" l="1"/>
  <c r="H30" i="3" s="1"/>
  <c r="H32" i="3" s="1"/>
  <c r="I26" i="3"/>
  <c r="J23" i="3"/>
  <c r="I25" i="3"/>
  <c r="F32" i="3"/>
  <c r="F33" i="3" l="1"/>
  <c r="F41" i="3"/>
  <c r="I27" i="3"/>
  <c r="J25" i="3"/>
  <c r="K23" i="3"/>
  <c r="J26" i="3"/>
  <c r="K25" i="3" l="1"/>
  <c r="K26" i="3"/>
  <c r="L23" i="3"/>
  <c r="J27" i="3"/>
  <c r="J30" i="3" s="1"/>
  <c r="J32" i="3" s="1"/>
  <c r="I30" i="3"/>
  <c r="G41" i="3"/>
  <c r="H41" i="3" s="1"/>
  <c r="G33" i="3"/>
  <c r="H33" i="3" s="1"/>
  <c r="K27" i="3" l="1"/>
  <c r="K30" i="3" s="1"/>
  <c r="K32" i="3" s="1"/>
  <c r="I32" i="3"/>
  <c r="I41" i="3" s="1"/>
  <c r="L25" i="3"/>
  <c r="L26" i="3"/>
  <c r="M23" i="3"/>
  <c r="I33" i="3"/>
  <c r="J33" i="3" s="1"/>
  <c r="K33" i="3" s="1"/>
  <c r="J41" i="3" l="1"/>
  <c r="K41" i="3" s="1"/>
  <c r="M25" i="3"/>
  <c r="M26" i="3"/>
  <c r="N23" i="3"/>
  <c r="L27" i="3"/>
  <c r="L30" i="3" s="1"/>
  <c r="L32" i="3" l="1"/>
  <c r="N26" i="3"/>
  <c r="O23" i="3"/>
  <c r="N25" i="3"/>
  <c r="N27" i="3" s="1"/>
  <c r="N30" i="3" s="1"/>
  <c r="N32" i="3" s="1"/>
  <c r="M27" i="3"/>
  <c r="M30" i="3" s="1"/>
  <c r="M32" i="3" s="1"/>
  <c r="L33" i="3" l="1"/>
  <c r="L41" i="3"/>
  <c r="O26" i="3"/>
  <c r="O25" i="3"/>
  <c r="O27" i="3" s="1"/>
  <c r="O30" i="3" s="1"/>
  <c r="O32" i="3" s="1"/>
  <c r="P23" i="3"/>
  <c r="P25" i="3" l="1"/>
  <c r="P26" i="3"/>
  <c r="Q23" i="3"/>
  <c r="M41" i="3"/>
  <c r="N41" i="3" s="1"/>
  <c r="O41" i="3" s="1"/>
  <c r="M33" i="3"/>
  <c r="N33" i="3" s="1"/>
  <c r="O33" i="3" s="1"/>
  <c r="Q26" i="3" l="1"/>
  <c r="R23" i="3"/>
  <c r="Q25" i="3"/>
  <c r="Q27" i="3" s="1"/>
  <c r="Q30" i="3" s="1"/>
  <c r="Q32" i="3" s="1"/>
  <c r="P27" i="3"/>
  <c r="P30" i="3" s="1"/>
  <c r="P32" i="3" s="1"/>
  <c r="P41" i="3" s="1"/>
  <c r="P33" i="3" l="1"/>
  <c r="Q41" i="3"/>
  <c r="Q33" i="3"/>
  <c r="R25" i="3"/>
  <c r="R26" i="3"/>
  <c r="S23" i="3"/>
  <c r="S26" i="3" l="1"/>
  <c r="S25" i="3"/>
  <c r="S27" i="3" s="1"/>
  <c r="S30" i="3" s="1"/>
  <c r="S32" i="3" s="1"/>
  <c r="T23" i="3"/>
  <c r="R27" i="3"/>
  <c r="R30" i="3" s="1"/>
  <c r="R32" i="3" s="1"/>
  <c r="R33" i="3" s="1"/>
  <c r="S33" i="3" s="1"/>
  <c r="U23" i="3" l="1"/>
  <c r="T26" i="3"/>
  <c r="T25" i="3"/>
  <c r="R41" i="3"/>
  <c r="S41" i="3" s="1"/>
  <c r="U26" i="3" l="1"/>
  <c r="U25" i="3"/>
  <c r="U27" i="3" s="1"/>
  <c r="U30" i="3" s="1"/>
  <c r="U32" i="3" s="1"/>
  <c r="V23" i="3"/>
  <c r="T27" i="3"/>
  <c r="T30" i="3" s="1"/>
  <c r="T32" i="3" s="1"/>
  <c r="T33" i="3" s="1"/>
  <c r="U33" i="3" s="1"/>
  <c r="V26" i="3" l="1"/>
  <c r="V25" i="3"/>
  <c r="V27" i="3" s="1"/>
  <c r="V30" i="3" s="1"/>
  <c r="V32" i="3" s="1"/>
  <c r="V33" i="3" s="1"/>
  <c r="W23" i="3"/>
  <c r="T41" i="3"/>
  <c r="U41" i="3" s="1"/>
  <c r="V41" i="3" s="1"/>
  <c r="W26" i="3" l="1"/>
  <c r="X23" i="3"/>
  <c r="W25" i="3"/>
  <c r="W27" i="3" s="1"/>
  <c r="W30" i="3" s="1"/>
  <c r="W32" i="3" s="1"/>
  <c r="W33" i="3" s="1"/>
  <c r="W41" i="3" l="1"/>
  <c r="X25" i="3"/>
  <c r="X26" i="3"/>
  <c r="Y23" i="3"/>
  <c r="Y26" i="3" l="1"/>
  <c r="Z23" i="3"/>
  <c r="Y25" i="3"/>
  <c r="Y27" i="3" s="1"/>
  <c r="Y30" i="3" s="1"/>
  <c r="Y32" i="3" s="1"/>
  <c r="X27" i="3"/>
  <c r="X30" i="3" s="1"/>
  <c r="X32" i="3" s="1"/>
  <c r="X33" i="3" s="1"/>
  <c r="Y33" i="3" s="1"/>
  <c r="X41" i="3"/>
  <c r="Y41" i="3" s="1"/>
  <c r="Z25" i="3" l="1"/>
  <c r="Z26" i="3"/>
  <c r="AA26" i="3" s="1"/>
  <c r="Z27" i="3" l="1"/>
  <c r="AA25" i="3"/>
  <c r="Z30" i="3" l="1"/>
  <c r="AA27" i="3"/>
  <c r="Z32" i="3" l="1"/>
  <c r="AA30" i="3"/>
  <c r="C37" i="3" l="1"/>
  <c r="C38" i="3"/>
  <c r="AA32" i="3"/>
  <c r="Z33" i="3"/>
  <c r="C40" i="3" s="1"/>
  <c r="Z41" i="3"/>
  <c r="C39" i="3" s="1"/>
  <c r="C44" i="3" l="1"/>
</calcChain>
</file>

<file path=xl/sharedStrings.xml><?xml version="1.0" encoding="utf-8"?>
<sst xmlns="http://schemas.openxmlformats.org/spreadsheetml/2006/main" count="153" uniqueCount="137">
  <si>
    <t>Tab 1 — ASSUMPTIONS  /  Giả định đầu vào</t>
  </si>
  <si>
    <t>Luật chơi: chỉ điền vào các ô MÀU VÀNG. Các ô khác là công thức và sẽ tự tính.</t>
  </si>
  <si>
    <t>1. Product &amp; Pricing  /  Sản phẩm &amp; Giá</t>
  </si>
  <si>
    <t>Optimistic</t>
  </si>
  <si>
    <t>Base</t>
  </si>
  <si>
    <t>Pessimistic</t>
  </si>
  <si>
    <t>Đơn vị</t>
  </si>
  <si>
    <t>Ghi chú / Note</t>
  </si>
  <si>
    <t>ARPU — Giá bán bình quân/khách/tháng</t>
  </si>
  <si>
    <t>VND</t>
  </si>
  <si>
    <t>Pricing cao hơn → khó bán hơn nhưng margin tốt hơn</t>
  </si>
  <si>
    <t>Adoption rate — % TAM chuyển thành khách/tháng</t>
  </si>
  <si>
    <t>%/tháng</t>
  </si>
  <si>
    <t>% TAM chuyển thành khách trả tiền mới mỗi tháng</t>
  </si>
  <si>
    <t>Total addressable market (số khách tiềm năng)</t>
  </si>
  <si>
    <t>khách</t>
  </si>
  <si>
    <t>Tổng số khách hàng tiềm năng có thể tiếp cận được</t>
  </si>
  <si>
    <t>2. COGS  /  Chi phí biến đổi trên mỗi khách hàng</t>
  </si>
  <si>
    <t>API cost / khách / tháng</t>
  </si>
  <si>
    <t>Tiền gọi OpenAI/Anthropic/Gemini API</t>
  </si>
  <si>
    <t>Hidden costs (labeling, retraining, QA)</t>
  </si>
  <si>
    <t>Đừng quên! Đây là cục giết startup AI</t>
  </si>
  <si>
    <t>Infrastructure (server/cloud) / khách</t>
  </si>
  <si>
    <t>Phần allocate cloud cost cho mỗi khách</t>
  </si>
  <si>
    <t>→ Tổng COGS / khách / tháng</t>
  </si>
  <si>
    <t>3. Customer Behavior  /  Hành vi khách hàng</t>
  </si>
  <si>
    <t>Monthly Churn Rate — % khách rời mỗi tháng</t>
  </si>
  <si>
    <t>%</t>
  </si>
  <si>
    <t>Benchmark AI product &lt; 5%/tháng</t>
  </si>
  <si>
    <t>→ Số tháng ở lại trung bình</t>
  </si>
  <si>
    <t>4. Sales &amp; Marketing  /  Chi phí thu hút khách</t>
  </si>
  <si>
    <t>CAC — Tổng chi phí có 1 khách hàng mới</t>
  </si>
  <si>
    <t>Tổng tiền Marketing &amp; Sales / Số khách mới</t>
  </si>
  <si>
    <t>5. Fixed Costs  /  Chi phí cố định hàng tháng</t>
  </si>
  <si>
    <t>Salaries — Lương team (PM/Dev/Designer)</t>
  </si>
  <si>
    <t>VND/tháng</t>
  </si>
  <si>
    <t>Pessimistic = phải hire thêm nếu khó scale</t>
  </si>
  <si>
    <t>Office, tools, admin</t>
  </si>
  <si>
    <t>Marketing budget hàng tháng</t>
  </si>
  <si>
    <t>→ Tổng Fixed Cost / tháng</t>
  </si>
  <si>
    <t>6. Initial Investment  /  Vốn đầu tư ban đầu</t>
  </si>
  <si>
    <t>Vốn đầu tư ban đầu (build MVP, setup)</t>
  </si>
  <si>
    <t>Chi phí 1 lần — lương team build MVP, infrastructure setup</t>
  </si>
  <si>
    <t>Tiền mặt ban đầu (sau khi đã trừ vốn đầu tư)</t>
  </si>
  <si>
    <t>Số tiền có sẵn để chi trả fixed cost trong giai đoạn đầu</t>
  </si>
  <si>
    <t>7. Discount Rate  /  Tỷ suất chiết khấu (cho NPV)</t>
  </si>
  <si>
    <t>Annual discount rate (WACC)</t>
  </si>
  <si>
    <t>%/năm</t>
  </si>
  <si>
    <t>Mức kỳ vọng tối thiểu của nhà đầu tư cho dự án AI rủi ro</t>
  </si>
  <si>
    <t>→ Monthly discount rate</t>
  </si>
  <si>
    <t>8. Decision Note  /  Ghi chú quyết định</t>
  </si>
  <si>
    <t>Finora chọn ARPU 149.000 đ/tháng dựa trên mức sẵn sàng chi trả của người trẻ thành thị cho công cụ quản lý tài chính cá nhân thông minh (tương đương 1 bữa trưa văn phòng, thấp hơn Copilot Money 13$/tháng) mang lại Gross Margin 65.8%. CAC 300.000 đ được tối ưu qua kênh phân phối kết hợp Mini-App trên ví và Referral truyền miệng, giúp CAC Payback chỉ 3.06 tháng (&lt; 12m) và LTV/CAC đạt 4.67x (&gt; 3.0x tiêu chuẩn vàng VC). Chi phí ẩn AI được trù bị 35.000 đ/khách (chiếm 350% API cost) cho Data Annotation, Retraining Intent Router và Human-in-the-loop QA để bảo đảm an toàn dữ liệu tài chính. Khi gặp shock thị trường (Pessimistic: Churn 10.5% [1.5x], CAC 450k [1.5x]), nhờ mô hình vận hành tinh gọn và vốn ban đầu 1.2 tỷ, Runway vẫn duy trì &gt;= 24 tháng đảm bảo an toàn tuyệt đối.</t>
  </si>
  <si>
    <t>Tab 2 — UNIT ECONOMICS  /  Kinh tế đơn vị</t>
  </si>
  <si>
    <t>Tự động tính từ Tab 1. Kiểm tra: LTV/CAC &gt; 3 (Base) và CAC Payback &lt; 12 tháng.</t>
  </si>
  <si>
    <t>Chỉ số</t>
  </si>
  <si>
    <t>Benchmark / Note</t>
  </si>
  <si>
    <t>Trên mỗi khách hàng / per customer</t>
  </si>
  <si>
    <t>ARPU / tháng</t>
  </si>
  <si>
    <t>Liên kết từ Tab Assumptions</t>
  </si>
  <si>
    <t>COGS / tháng</t>
  </si>
  <si>
    <t>→ Gross Profit / tháng</t>
  </si>
  <si>
    <t>→ Gross Margin %</t>
  </si>
  <si>
    <t>AI product target: 40-60%. SaaS truyền thống: 80%+</t>
  </si>
  <si>
    <t>LTV — Customer Lifetime Value</t>
  </si>
  <si>
    <t>Số tháng ở lại trung bình</t>
  </si>
  <si>
    <t>tháng</t>
  </si>
  <si>
    <t>→ LTV = Gross Profit × Số tháng ở lại</t>
  </si>
  <si>
    <t>Tổng lợi nhuận gộp một khách mang lại trong vòng đời</t>
  </si>
  <si>
    <t>CAC — Customer Acquisition Cost</t>
  </si>
  <si>
    <t>CAC — Chi phí thu hút 1 khách</t>
  </si>
  <si>
    <t>Key Ratios  /  Tỷ lệ then chốt</t>
  </si>
  <si>
    <t>→ LTV / CAC Ratio</t>
  </si>
  <si>
    <t>🎯 Target &gt; 3.0x (tiêu chuẩn vàng VC)</t>
  </si>
  <si>
    <t>→ CAC Payback Period</t>
  </si>
  <si>
    <t>🎯 Target &lt; 12 tháng (early-stage)</t>
  </si>
  <si>
    <t>Verdict  /  Kết luận</t>
  </si>
  <si>
    <t>Unit Economics Status</t>
  </si>
  <si>
    <t>Tab 3 — P&amp;L &amp; ROI  /  24 tháng</t>
  </si>
  <si>
    <t>Chọn scenario:</t>
  </si>
  <si>
    <t>Đổi scenario tại đây để toàn bộ P&amp;L tự cập nhật</t>
  </si>
  <si>
    <t>Active scenario index:</t>
  </si>
  <si>
    <t>Selected scenario inputs ↓</t>
  </si>
  <si>
    <t>ARPU / khách / tháng</t>
  </si>
  <si>
    <t>Adoption rate</t>
  </si>
  <si>
    <t>TAM (số khách tiềm năng)</t>
  </si>
  <si>
    <t>Total COGS / khách</t>
  </si>
  <si>
    <t>Monthly Churn Rate</t>
  </si>
  <si>
    <t>CAC / khách mới</t>
  </si>
  <si>
    <t>Fixed Cost / tháng</t>
  </si>
  <si>
    <t>Initial Investment</t>
  </si>
  <si>
    <t>Initial Cash</t>
  </si>
  <si>
    <t>Monthly Discount Rate</t>
  </si>
  <si>
    <t>P&amp;L Projection — 24 months  (VND)</t>
  </si>
  <si>
    <t>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</si>
  <si>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</si>
  <si>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</si>
  <si>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</si>
  <si>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</si>
  <si>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</si>
  <si>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</si>
  <si>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</si>
  <si>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</si>
  <si>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</si>
  <si>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</si>
  <si>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</si>
  <si>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</si>
  <si>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</si>
  <si>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</si>
  <si>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</si>
  <si>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</si>
  <si>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</si>
  <si>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</si>
  <si>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</si>
  <si>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</si>
  <si>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</si>
  <si>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</si>
  <si>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</si>
  <si>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</si>
  <si>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TOTAL</t>
  </si>
  <si>
    <t>New customers acquired</t>
  </si>
  <si>
    <t>Active customers (end of month)</t>
  </si>
  <si>
    <t>Revenue</t>
  </si>
  <si>
    <t>COGS (variable cost)</t>
  </si>
  <si>
    <t>Gross Profit</t>
  </si>
  <si>
    <t>Marketing/Acquisition cost</t>
  </si>
  <si>
    <t>Fixed cost (salaries + ops)</t>
  </si>
  <si>
    <t>Operating Profit (EBITDA)</t>
  </si>
  <si>
    <t>Cash Flow (after investment)</t>
  </si>
  <si>
    <t>Cash Position (cumulative)</t>
  </si>
  <si>
    <t>ROI Metrics  /  Chỉ số đánh giá tổng thể dự án</t>
  </si>
  <si>
    <t>NPV (Net Present Value, mil VND)</t>
  </si>
  <si>
    <t>IRR (Annual)</t>
  </si>
  <si>
    <t>Project Payback (months)</t>
  </si>
  <si>
    <t>Runway (months until cash = 0)</t>
  </si>
  <si>
    <t>(helper: cumulative cash flow)</t>
  </si>
  <si>
    <t>Final Verdict  /  Có nên làm dự án này?</t>
  </si>
  <si>
    <t>Project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</si>
</sst>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,##0;\(#,##0\);\-"/>
    <numFmt numFmtId="165" formatCode="0.0%;\(0.0%\);\-"/>
    <numFmt numFmtId="166" formatCode="0.0&quot; tháng&quot;"/>
    <numFmt numFmtId="167" formatCode="0.00\x"/>
    <numFmt numFmtId="168" formatCode="0.00%;\(0.00%\);\-"/>
  </numFmts>
  <fonts count="20" x14ac:knownFonts="1">
    <font>
      <sz val="11"/>
      <color theme="1"/>
      <name val="Calibri"/>
      <charset val="1"/>
    </font>
    <font>
      <b/>
      <sz val="16"/>
      <color rgb="FFFFFFFF"/>
      <name val="Arial"/>
      <charset val="1"/>
    </font>
    <font>
      <b/>
      <sz val="11"/>
      <color rgb="FF0F3460"/>
      <name val="Arial"/>
      <charset val="1"/>
    </font>
    <font>
      <b/>
      <sz val="11"/>
      <color rgb="FF0000FF"/>
      <name val="Arial"/>
      <charset val="1"/>
    </font>
    <font>
      <i/>
      <sz val="9"/>
      <color rgb="FF64748B"/>
      <name val="Arial"/>
      <charset val="1"/>
    </font>
    <font>
      <b/>
      <i/>
      <sz val="9"/>
      <color rgb="FF0F3460"/>
      <name val="Arial"/>
      <charset val="1"/>
    </font>
    <font>
      <i/>
      <sz val="9"/>
      <color rgb="FF00800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sz val="10"/>
      <color rgb="FF000000"/>
      <name val="Arial"/>
      <charset val="1"/>
    </font>
    <font>
      <sz val="9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b/>
      <sz val="11"/>
      <name val="Arial"/>
      <charset val="1"/>
    </font>
    <font>
      <i/>
      <sz val="8"/>
      <color rgb="FF94A3B8"/>
      <name val="Arial"/>
      <charset val="1"/>
    </font>
    <font>
      <b/>
      <sz val="12"/>
      <name val="Arial"/>
      <charset val="1"/>
    </font>
    <font>
      <sz val="10"/>
      <color rgb="FF008000"/>
      <name val="Arial"/>
      <charset val="1"/>
    </font>
    <font>
      <b/>
      <sz val="10"/>
      <color rgb="FF0000FF"/>
      <name val="Arial"/>
      <charset val="1"/>
    </font>
    <font>
      <i/>
      <sz val="10"/>
      <color rgb="FF0000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FFF00"/>
        <bgColor rgb="FFFFFF00"/>
      </patternFill>
    </fill>
    <fill>
      <patternFill patternType="solid">
        <fgColor rgb="FF0F3460"/>
        <bgColor rgb="FF1A1A2E"/>
      </patternFill>
    </fill>
    <fill>
      <patternFill patternType="solid">
        <fgColor rgb="FFF1F5F9"/>
        <bgColor rgb="FFFFFFFF"/>
      </patternFill>
    </fill>
    <fill>
      <patternFill patternType="solid">
        <fgColor rgb="FFDCFCE7"/>
        <bgColor rgb="FFCCFFCC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64748B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indent="1"/>
    </xf>
    <xf numFmtId="164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0" fontId="8" fillId="5" borderId="0" xfId="0" applyFont="1" applyFill="1"/>
    <xf numFmtId="0" fontId="9" fillId="5" borderId="0" xfId="0" applyFont="1" applyFill="1" applyAlignment="1">
      <alignment horizontal="center"/>
    </xf>
    <xf numFmtId="0" fontId="10" fillId="0" borderId="0" xfId="0" applyFont="1" applyAlignment="1">
      <alignment horizontal="left" vertical="center" indent="1"/>
    </xf>
    <xf numFmtId="164" fontId="11" fillId="0" borderId="0" xfId="0" applyNumberFormat="1" applyFont="1" applyAlignment="1">
      <alignment horizontal="right"/>
    </xf>
    <xf numFmtId="0" fontId="12" fillId="6" borderId="0" xfId="0" applyFont="1" applyFill="1" applyAlignment="1">
      <alignment horizontal="left" vertical="center"/>
    </xf>
    <xf numFmtId="164" fontId="9" fillId="6" borderId="0" xfId="0" applyNumberFormat="1" applyFont="1" applyFill="1" applyAlignment="1">
      <alignment horizontal="right"/>
    </xf>
    <xf numFmtId="0" fontId="12" fillId="0" borderId="0" xfId="0" applyFont="1" applyAlignment="1">
      <alignment horizontal="left" vertical="center"/>
    </xf>
    <xf numFmtId="164" fontId="9" fillId="0" borderId="0" xfId="0" applyNumberFormat="1" applyFont="1" applyAlignment="1">
      <alignment horizontal="right"/>
    </xf>
    <xf numFmtId="0" fontId="12" fillId="5" borderId="0" xfId="0" applyFont="1" applyFill="1" applyAlignment="1">
      <alignment horizontal="left" vertical="center"/>
    </xf>
    <xf numFmtId="164" fontId="9" fillId="5" borderId="0" xfId="0" applyNumberFormat="1" applyFont="1" applyFill="1" applyAlignment="1">
      <alignment horizontal="right"/>
    </xf>
    <xf numFmtId="0" fontId="12" fillId="7" borderId="0" xfId="0" applyFont="1" applyFill="1" applyAlignment="1">
      <alignment horizontal="left" vertical="center"/>
    </xf>
    <xf numFmtId="164" fontId="9" fillId="7" borderId="0" xfId="0" applyNumberFormat="1" applyFont="1" applyFill="1" applyAlignment="1">
      <alignment horizontal="right"/>
    </xf>
    <xf numFmtId="164" fontId="13" fillId="0" borderId="0" xfId="0" applyNumberFormat="1" applyFont="1" applyAlignment="1">
      <alignment horizontal="right"/>
    </xf>
    <xf numFmtId="165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15" fillId="0" borderId="0" xfId="0" applyFont="1"/>
    <xf numFmtId="164" fontId="15" fillId="0" borderId="0" xfId="0" applyNumberFormat="1" applyFont="1" applyAlignment="1">
      <alignment horizontal="right"/>
    </xf>
    <xf numFmtId="0" fontId="8" fillId="5" borderId="0" xfId="0" applyFont="1" applyFill="1" applyAlignment="1">
      <alignment horizontal="center"/>
    </xf>
    <xf numFmtId="164" fontId="8" fillId="0" borderId="0" xfId="0" applyNumberFormat="1" applyFont="1"/>
    <xf numFmtId="164" fontId="8" fillId="6" borderId="0" xfId="0" applyNumberFormat="1" applyFont="1" applyFill="1"/>
    <xf numFmtId="164" fontId="8" fillId="5" borderId="0" xfId="0" applyNumberFormat="1" applyFont="1" applyFill="1"/>
    <xf numFmtId="0" fontId="12" fillId="6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164" fontId="17" fillId="0" borderId="0" xfId="0" applyNumberFormat="1" applyFont="1" applyAlignment="1">
      <alignment horizontal="right" vertical="center"/>
    </xf>
    <xf numFmtId="164" fontId="12" fillId="5" borderId="0" xfId="0" applyNumberFormat="1" applyFont="1" applyFill="1" applyAlignment="1">
      <alignment horizontal="right" vertical="center"/>
    </xf>
    <xf numFmtId="165" fontId="12" fillId="5" borderId="0" xfId="0" applyNumberFormat="1" applyFont="1" applyFill="1" applyAlignment="1">
      <alignment horizontal="right" vertical="center"/>
    </xf>
    <xf numFmtId="166" fontId="17" fillId="0" borderId="0" xfId="0" applyNumberFormat="1" applyFont="1" applyAlignment="1">
      <alignment horizontal="right" vertical="center"/>
    </xf>
    <xf numFmtId="167" fontId="12" fillId="5" borderId="0" xfId="0" applyNumberFormat="1" applyFont="1" applyFill="1" applyAlignment="1">
      <alignment horizontal="right" vertical="center"/>
    </xf>
    <xf numFmtId="166" fontId="12" fillId="5" borderId="0" xfId="0" applyNumberFormat="1" applyFont="1" applyFill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5" borderId="0" xfId="0" applyFill="1"/>
    <xf numFmtId="164" fontId="18" fillId="3" borderId="1" xfId="0" applyNumberFormat="1" applyFont="1" applyFill="1" applyBorder="1" applyAlignment="1">
      <alignment horizontal="right" vertical="center"/>
    </xf>
    <xf numFmtId="168" fontId="18" fillId="3" borderId="1" xfId="0" applyNumberFormat="1" applyFont="1" applyFill="1" applyBorder="1" applyAlignment="1">
      <alignment horizontal="right" vertical="center"/>
    </xf>
    <xf numFmtId="0" fontId="12" fillId="5" borderId="2" xfId="0" applyFont="1" applyFill="1" applyBorder="1" applyAlignment="1">
      <alignment horizontal="left" vertical="center"/>
    </xf>
    <xf numFmtId="164" fontId="12" fillId="5" borderId="2" xfId="0" applyNumberFormat="1" applyFont="1" applyFill="1" applyBorder="1" applyAlignment="1">
      <alignment horizontal="right" vertical="center"/>
    </xf>
    <xf numFmtId="165" fontId="18" fillId="3" borderId="1" xfId="0" applyNumberFormat="1" applyFont="1" applyFill="1" applyBorder="1" applyAlignment="1">
      <alignment horizontal="right" vertical="center"/>
    </xf>
    <xf numFmtId="0" fontId="0" fillId="5" borderId="2" xfId="0" applyFill="1" applyBorder="1"/>
    <xf numFmtId="0" fontId="7" fillId="4" borderId="0" xfId="0" applyFont="1" applyFill="1" applyAlignment="1">
      <alignment horizontal="left" vertical="center" indent="1"/>
    </xf>
    <xf numFmtId="0" fontId="0" fillId="0" borderId="0" xfId="0"/>
    <xf numFmtId="0" fontId="4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indent="1"/>
    </xf>
    <xf numFmtId="0" fontId="19" fillId="3" borderId="3" xfId="0" applyFont="1" applyFill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16" fillId="0" borderId="0" xfId="0" applyFont="1" applyAlignment="1">
      <alignment horizontal="left" vertical="center"/>
    </xf>
  </cellXfs>
  <cellStyles count="1">
    <cellStyle name="Normal" xfId="0" builtinId="0"/>
  </cellStyles>
  <dxfs count="27">
    <dxf>
      <font>
        <b/>
        <sz val="9"/>
        <color rgb="FFDC2626"/>
        <name val="Arial"/>
        <charset val="1"/>
      </font>
      <fill>
        <patternFill patternType="solid">
          <bgColor rgb="FFFEE2E2"/>
        </patternFill>
      </fill>
    </dxf>
    <dxf>
      <font>
        <b/>
        <sz val="11"/>
        <color rgb="FFDC2626"/>
        <name val="Arial"/>
        <charset val="1"/>
      </font>
      <fill>
        <patternFill patternType="solid">
          <bgColor rgb="FFFEE2E2"/>
        </patternFill>
      </fill>
    </dxf>
    <dxf>
      <font>
        <b/>
        <sz val="11"/>
        <color rgb="FFDC2626"/>
        <name val="Arial"/>
        <charset val="1"/>
      </font>
      <fill>
        <patternFill patternType="solid">
          <bgColor rgb="FFFEE2E2"/>
        </patternFill>
      </fill>
    </dxf>
    <dxf>
      <font>
        <b/>
        <sz val="11"/>
        <color rgb="FF16A34A"/>
        <name val="Arial"/>
        <charset val="1"/>
      </font>
      <fill>
        <patternFill patternType="solid">
          <bgColor rgb="FFDCFCE7"/>
        </patternFill>
      </fill>
    </dxf>
    <dxf>
      <font>
        <b/>
        <sz val="10"/>
        <color rgb="FF16A34A"/>
        <name val="Arial"/>
        <charset val="1"/>
      </font>
      <fill>
        <patternFill patternType="solid">
          <bgColor rgb="FFDCFCE7"/>
        </patternFill>
      </fill>
    </dxf>
    <dxf>
      <font>
        <b/>
        <sz val="10"/>
        <color rgb="FFD97706"/>
        <name val="Arial"/>
        <charset val="1"/>
      </font>
      <fill>
        <patternFill patternType="solid">
          <bgColor rgb="FFFEF3C7"/>
        </patternFill>
      </fill>
    </dxf>
    <dxf>
      <font>
        <b/>
        <sz val="10"/>
        <color rgb="FFDC2626"/>
        <name val="Arial"/>
        <charset val="1"/>
      </font>
      <fill>
        <patternFill patternType="solid">
          <bgColor rgb="FFFEE2E2"/>
        </patternFill>
      </fill>
    </dxf>
    <dxf>
      <font>
        <b/>
        <sz val="10"/>
        <color rgb="FF16A34A"/>
        <name val="Arial"/>
        <charset val="1"/>
      </font>
      <fill>
        <patternFill patternType="solid">
          <bgColor rgb="FFDCFCE7"/>
        </patternFill>
      </fill>
    </dxf>
    <dxf>
      <font>
        <b/>
        <sz val="10"/>
        <color rgb="FFD97706"/>
        <name val="Arial"/>
        <charset val="1"/>
      </font>
      <fill>
        <patternFill patternType="solid">
          <bgColor rgb="FFFEF3C7"/>
        </patternFill>
      </fill>
    </dxf>
    <dxf>
      <font>
        <b/>
        <sz val="10"/>
        <color rgb="FFDC2626"/>
        <name val="Arial"/>
        <charset val="1"/>
      </font>
      <fill>
        <patternFill patternType="solid">
          <bgColor rgb="FFFEE2E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00000000-0011-0000-FFFF-FFFF01000000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EF3C7"/>
      <rgbColor rgb="00DCFCE7"/>
      <rgbColor rgb="00660066"/>
      <rgbColor rgb="00FF8080"/>
      <rgbColor rgb="000066CC"/>
      <rgbColor rgb="00CBD5E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1F5F9"/>
      <rgbColor rgb="00CCFFCC"/>
      <rgbColor rgb="00FFFF99"/>
      <rgbColor rgb="0099CCFF"/>
      <rgbColor rgb="00FF99CC"/>
      <rgbColor rgb="00CC99FF"/>
      <rgbColor rgb="00FEE2E2"/>
      <rgbColor rgb="003366FF"/>
      <rgbColor rgb="0033CCCC"/>
      <rgbColor rgb="0099CC00"/>
      <rgbColor rgb="00FFCC00"/>
      <rgbColor rgb="00FF9900"/>
      <rgbColor rgb="00D97706"/>
      <rgbColor rgb="0064748B"/>
      <rgbColor rgb="0094A3B8"/>
      <rgbColor rgb="000F3460"/>
      <rgbColor rgb="0016A34A"/>
      <rgbColor rgb="00003300"/>
      <rgbColor rgb="00333300"/>
      <rgbColor rgb="00993300"/>
      <rgbColor rgb="00993366"/>
      <rgbColor rgb="00333399"/>
      <rgbColor rgb="00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1"/>
  <sheetViews>
    <sheetView tabSelected="1" zoomScale="171" zoomScaleNormal="171" workbookViewId="0">
      <pane ySplit="5" topLeftCell="A6" activePane="bottomLeft" state="frozen"/>
      <selection pane="bottomLeft" activeCell="C28" sqref="C28"/>
    </sheetView>
  </sheetViews>
  <sheetFormatPr defaultColWidth="8.6640625" defaultRowHeight="14.4" x14ac:dyDescent="0.3"/>
  <cols>
    <col min="1" max="1" width="3" customWidth="1"/>
    <col min="2" max="2" width="38" customWidth="1"/>
    <col min="3" max="5" width="16" customWidth="1"/>
    <col min="6" max="6" width="14" customWidth="1"/>
    <col min="7" max="7" width="50" customWidth="1"/>
  </cols>
  <sheetData>
    <row r="2" spans="2:7" ht="30" customHeight="1" x14ac:dyDescent="0.3">
      <c r="B2" s="52" t="s">
        <v>0</v>
      </c>
      <c r="C2" s="50"/>
      <c r="D2" s="50"/>
      <c r="E2" s="50"/>
      <c r="F2" s="50"/>
    </row>
    <row r="3" spans="2:7" ht="19.5" customHeight="1" x14ac:dyDescent="0.3">
      <c r="B3" s="51" t="s">
        <v>1</v>
      </c>
      <c r="C3" s="50"/>
      <c r="D3" s="50"/>
      <c r="E3" s="50"/>
      <c r="F3" s="50"/>
      <c r="G3" s="50"/>
    </row>
    <row r="5" spans="2:7" x14ac:dyDescent="0.3">
      <c r="B5" s="49" t="s">
        <v>2</v>
      </c>
      <c r="C5" s="50"/>
      <c r="D5" s="50"/>
      <c r="E5" s="50"/>
      <c r="F5" s="50"/>
    </row>
    <row r="6" spans="2:7" x14ac:dyDescent="0.3">
      <c r="C6" s="30" t="s">
        <v>3</v>
      </c>
      <c r="D6" s="31" t="s">
        <v>4</v>
      </c>
      <c r="E6" s="39" t="s">
        <v>5</v>
      </c>
      <c r="F6" s="40" t="s">
        <v>6</v>
      </c>
      <c r="G6" s="15" t="s">
        <v>7</v>
      </c>
    </row>
    <row r="7" spans="2:7" x14ac:dyDescent="0.3">
      <c r="B7" s="11" t="s">
        <v>8</v>
      </c>
      <c r="C7" s="43">
        <v>199000</v>
      </c>
      <c r="D7" s="43">
        <v>149000</v>
      </c>
      <c r="E7" s="43">
        <v>129000</v>
      </c>
      <c r="F7" s="41" t="s">
        <v>9</v>
      </c>
      <c r="G7" s="3" t="s">
        <v>10</v>
      </c>
    </row>
    <row r="8" spans="2:7" x14ac:dyDescent="0.3">
      <c r="B8" s="11" t="s">
        <v>11</v>
      </c>
      <c r="C8" s="44">
        <v>8.0000000000000002E-3</v>
      </c>
      <c r="D8" s="44">
        <v>5.0000000000000001E-3</v>
      </c>
      <c r="E8" s="47">
        <v>3.0000000000000001E-3</v>
      </c>
      <c r="F8" s="41" t="s">
        <v>12</v>
      </c>
      <c r="G8" s="3" t="s">
        <v>13</v>
      </c>
    </row>
    <row r="9" spans="2:7" x14ac:dyDescent="0.3">
      <c r="B9" s="11" t="s">
        <v>14</v>
      </c>
      <c r="C9" s="43">
        <v>50000</v>
      </c>
      <c r="D9" s="43">
        <v>50000</v>
      </c>
      <c r="E9" s="43">
        <v>50000</v>
      </c>
      <c r="F9" s="41" t="s">
        <v>15</v>
      </c>
      <c r="G9" s="3" t="s">
        <v>16</v>
      </c>
    </row>
    <row r="11" spans="2:7" x14ac:dyDescent="0.3">
      <c r="B11" s="49" t="s">
        <v>17</v>
      </c>
      <c r="C11" s="50"/>
      <c r="D11" s="50"/>
      <c r="E11" s="50"/>
      <c r="F11" s="50"/>
    </row>
    <row r="12" spans="2:7" x14ac:dyDescent="0.3">
      <c r="B12" s="11" t="s">
        <v>18</v>
      </c>
      <c r="C12" s="43">
        <v>12000</v>
      </c>
      <c r="D12" s="43">
        <v>10000</v>
      </c>
      <c r="E12" s="43">
        <v>10000</v>
      </c>
      <c r="F12" s="41" t="s">
        <v>9</v>
      </c>
      <c r="G12" s="3" t="s">
        <v>19</v>
      </c>
    </row>
    <row r="13" spans="2:7" x14ac:dyDescent="0.3">
      <c r="B13" s="11" t="s">
        <v>20</v>
      </c>
      <c r="C13" s="43">
        <v>38000</v>
      </c>
      <c r="D13" s="43">
        <v>35000</v>
      </c>
      <c r="E13" s="43">
        <v>38000</v>
      </c>
      <c r="F13" s="41" t="s">
        <v>9</v>
      </c>
      <c r="G13" s="3" t="s">
        <v>21</v>
      </c>
    </row>
    <row r="14" spans="2:7" ht="17.55" customHeight="1" x14ac:dyDescent="0.3">
      <c r="B14" s="11" t="s">
        <v>22</v>
      </c>
      <c r="C14" s="43">
        <v>8000</v>
      </c>
      <c r="D14" s="43">
        <v>6000</v>
      </c>
      <c r="E14" s="43">
        <v>7000</v>
      </c>
      <c r="F14" s="41" t="s">
        <v>9</v>
      </c>
      <c r="G14" s="3" t="s">
        <v>23</v>
      </c>
    </row>
    <row r="15" spans="2:7" x14ac:dyDescent="0.3">
      <c r="B15" s="45" t="s">
        <v>24</v>
      </c>
      <c r="C15" s="46">
        <f>C12+C13+C14</f>
        <v>58000</v>
      </c>
      <c r="D15" s="46">
        <f>D12+D13+D14</f>
        <v>51000</v>
      </c>
      <c r="E15" s="46">
        <f>E12+E13+E14</f>
        <v>55000</v>
      </c>
      <c r="F15" s="48"/>
    </row>
    <row r="17" spans="2:7" x14ac:dyDescent="0.3">
      <c r="B17" s="49" t="s">
        <v>25</v>
      </c>
      <c r="C17" s="50"/>
      <c r="D17" s="50"/>
      <c r="E17" s="50"/>
      <c r="F17" s="50"/>
    </row>
    <row r="18" spans="2:7" x14ac:dyDescent="0.3">
      <c r="B18" s="11" t="s">
        <v>26</v>
      </c>
      <c r="C18" s="47">
        <v>4.4999999999999998E-2</v>
      </c>
      <c r="D18" s="47">
        <v>7.0000000000000007E-2</v>
      </c>
      <c r="E18" s="47">
        <v>0.105</v>
      </c>
      <c r="F18" s="41" t="s">
        <v>27</v>
      </c>
      <c r="G18" s="3" t="s">
        <v>28</v>
      </c>
    </row>
    <row r="19" spans="2:7" x14ac:dyDescent="0.3">
      <c r="B19" s="17" t="s">
        <v>29</v>
      </c>
      <c r="C19" s="37">
        <f>IFERROR(1/C18,0)</f>
        <v>22.222222222222221</v>
      </c>
      <c r="D19" s="37">
        <f>IFERROR(1/D18,0)</f>
        <v>14.285714285714285</v>
      </c>
      <c r="E19" s="37">
        <f>IFERROR(1/E18,0)</f>
        <v>9.5238095238095237</v>
      </c>
      <c r="F19" s="42"/>
    </row>
    <row r="21" spans="2:7" x14ac:dyDescent="0.3">
      <c r="B21" s="49" t="s">
        <v>30</v>
      </c>
      <c r="C21" s="50"/>
      <c r="D21" s="50"/>
      <c r="E21" s="50"/>
      <c r="F21" s="50"/>
    </row>
    <row r="22" spans="2:7" x14ac:dyDescent="0.3">
      <c r="B22" s="11" t="s">
        <v>31</v>
      </c>
      <c r="C22" s="43">
        <v>220000</v>
      </c>
      <c r="D22" s="43">
        <v>300000</v>
      </c>
      <c r="E22" s="43">
        <v>450000</v>
      </c>
      <c r="F22" s="41" t="s">
        <v>9</v>
      </c>
      <c r="G22" s="3" t="s">
        <v>32</v>
      </c>
    </row>
    <row r="24" spans="2:7" x14ac:dyDescent="0.3">
      <c r="B24" s="49" t="s">
        <v>33</v>
      </c>
      <c r="C24" s="50"/>
      <c r="D24" s="50"/>
      <c r="E24" s="50"/>
      <c r="F24" s="50"/>
    </row>
    <row r="25" spans="2:7" x14ac:dyDescent="0.3">
      <c r="B25" s="11" t="s">
        <v>34</v>
      </c>
      <c r="C25" s="43">
        <v>60000000</v>
      </c>
      <c r="D25" s="43">
        <v>50000000</v>
      </c>
      <c r="E25" s="43">
        <v>25000000</v>
      </c>
      <c r="F25" s="41" t="s">
        <v>35</v>
      </c>
      <c r="G25" s="3" t="s">
        <v>36</v>
      </c>
    </row>
    <row r="26" spans="2:7" x14ac:dyDescent="0.3">
      <c r="B26" s="11" t="s">
        <v>37</v>
      </c>
      <c r="C26" s="43">
        <v>10000000</v>
      </c>
      <c r="D26" s="43">
        <v>10000000</v>
      </c>
      <c r="E26" s="43">
        <v>5000000</v>
      </c>
      <c r="F26" s="41" t="s">
        <v>35</v>
      </c>
    </row>
    <row r="27" spans="2:7" x14ac:dyDescent="0.3">
      <c r="B27" s="11" t="s">
        <v>38</v>
      </c>
      <c r="C27" s="43">
        <v>20000000</v>
      </c>
      <c r="D27" s="43">
        <v>15000000</v>
      </c>
      <c r="E27" s="43">
        <v>5000000</v>
      </c>
      <c r="F27" s="41" t="s">
        <v>35</v>
      </c>
    </row>
    <row r="28" spans="2:7" x14ac:dyDescent="0.3">
      <c r="B28" s="17" t="s">
        <v>39</v>
      </c>
      <c r="C28" s="33">
        <f>SUM(C25:C27)</f>
        <v>90000000</v>
      </c>
      <c r="D28" s="33">
        <f>SUM(D25:D27)</f>
        <v>75000000</v>
      </c>
      <c r="E28" s="33">
        <f>SUM(E25:E27)</f>
        <v>35000000</v>
      </c>
      <c r="F28" s="42"/>
    </row>
    <row r="30" spans="2:7" x14ac:dyDescent="0.3">
      <c r="B30" s="49" t="s">
        <v>40</v>
      </c>
      <c r="C30" s="50"/>
      <c r="D30" s="50"/>
      <c r="E30" s="50"/>
      <c r="F30" s="50"/>
    </row>
    <row r="31" spans="2:7" x14ac:dyDescent="0.3">
      <c r="B31" s="11" t="s">
        <v>41</v>
      </c>
      <c r="C31" s="43">
        <v>300000000</v>
      </c>
      <c r="D31" s="43">
        <v>300000000</v>
      </c>
      <c r="E31" s="43">
        <v>300000000</v>
      </c>
      <c r="F31" s="41" t="s">
        <v>9</v>
      </c>
      <c r="G31" s="3" t="s">
        <v>42</v>
      </c>
    </row>
    <row r="32" spans="2:7" x14ac:dyDescent="0.3">
      <c r="B32" s="11" t="s">
        <v>43</v>
      </c>
      <c r="C32" s="43">
        <v>1500000000</v>
      </c>
      <c r="D32" s="43">
        <v>1200000000</v>
      </c>
      <c r="E32" s="43">
        <v>1200000000</v>
      </c>
      <c r="F32" s="41" t="s">
        <v>9</v>
      </c>
      <c r="G32" s="3" t="s">
        <v>44</v>
      </c>
    </row>
    <row r="34" spans="2:7" x14ac:dyDescent="0.3">
      <c r="B34" s="49" t="s">
        <v>45</v>
      </c>
      <c r="C34" s="50"/>
      <c r="D34" s="50"/>
      <c r="E34" s="50"/>
      <c r="F34" s="50"/>
    </row>
    <row r="35" spans="2:7" x14ac:dyDescent="0.3">
      <c r="B35" s="11" t="s">
        <v>46</v>
      </c>
      <c r="C35" s="47">
        <v>0.2</v>
      </c>
      <c r="D35" s="47">
        <v>0.2</v>
      </c>
      <c r="E35" s="47">
        <v>0.2</v>
      </c>
      <c r="F35" s="41" t="s">
        <v>47</v>
      </c>
      <c r="G35" s="3" t="s">
        <v>48</v>
      </c>
    </row>
    <row r="36" spans="2:7" x14ac:dyDescent="0.3">
      <c r="B36" s="17" t="s">
        <v>49</v>
      </c>
      <c r="C36" s="34">
        <f>(1+C35)^(1/12)-1</f>
        <v>1.5309470499731193E-2</v>
      </c>
      <c r="D36" s="34">
        <f>(1+D35)^(1/12)-1</f>
        <v>1.5309470499731193E-2</v>
      </c>
      <c r="E36" s="34">
        <f>(1+E35)^(1/12)-1</f>
        <v>1.5309470499731193E-2</v>
      </c>
      <c r="F36" s="42"/>
    </row>
    <row r="38" spans="2:7" x14ac:dyDescent="0.3">
      <c r="B38" s="49" t="s">
        <v>50</v>
      </c>
      <c r="C38" s="50"/>
      <c r="D38" s="50"/>
      <c r="E38" s="50"/>
      <c r="F38" s="50"/>
    </row>
    <row r="39" spans="2:7" ht="40.049999999999997" customHeight="1" x14ac:dyDescent="0.3">
      <c r="B39" s="53" t="s">
        <v>51</v>
      </c>
      <c r="C39" s="54"/>
      <c r="D39" s="54"/>
      <c r="E39" s="54"/>
      <c r="F39" s="54"/>
    </row>
    <row r="40" spans="2:7" ht="40.049999999999997" customHeight="1" x14ac:dyDescent="0.3">
      <c r="B40" s="55"/>
      <c r="C40" s="50"/>
      <c r="D40" s="50"/>
      <c r="E40" s="50"/>
      <c r="F40" s="50"/>
    </row>
    <row r="41" spans="2:7" ht="40.049999999999997" customHeight="1" x14ac:dyDescent="0.3">
      <c r="B41" s="55"/>
      <c r="C41" s="50"/>
      <c r="D41" s="50"/>
      <c r="E41" s="50"/>
      <c r="F41" s="50"/>
    </row>
  </sheetData>
  <mergeCells count="11">
    <mergeCell ref="B38:F38"/>
    <mergeCell ref="B34:F34"/>
    <mergeCell ref="B11:F11"/>
    <mergeCell ref="B5:F5"/>
    <mergeCell ref="B39:F41"/>
    <mergeCell ref="B17:F17"/>
    <mergeCell ref="B21:F21"/>
    <mergeCell ref="B30:F30"/>
    <mergeCell ref="B3:G3"/>
    <mergeCell ref="B24:F24"/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5"/>
  <sheetViews>
    <sheetView zoomScale="147" zoomScaleNormal="147" workbookViewId="0">
      <pane ySplit="5" topLeftCell="A6" activePane="bottomLeft" state="frozen"/>
      <selection pane="bottomLeft" activeCell="E21" sqref="E21"/>
    </sheetView>
  </sheetViews>
  <sheetFormatPr defaultColWidth="8.6640625" defaultRowHeight="14.4" x14ac:dyDescent="0.3"/>
  <cols>
    <col min="1" max="1" width="3" customWidth="1"/>
    <col min="2" max="2" width="38" customWidth="1"/>
    <col min="3" max="5" width="16" customWidth="1"/>
    <col min="6" max="6" width="14" customWidth="1"/>
    <col min="7" max="7" width="50" customWidth="1"/>
  </cols>
  <sheetData>
    <row r="2" spans="2:7" ht="30" customHeight="1" x14ac:dyDescent="0.3">
      <c r="B2" s="52" t="s">
        <v>52</v>
      </c>
      <c r="C2" s="50"/>
      <c r="D2" s="50"/>
      <c r="E2" s="50"/>
      <c r="F2" s="50"/>
    </row>
    <row r="3" spans="2:7" ht="19.5" customHeight="1" x14ac:dyDescent="0.3">
      <c r="B3" s="51" t="s">
        <v>53</v>
      </c>
      <c r="C3" s="50"/>
      <c r="D3" s="50"/>
      <c r="E3" s="50"/>
      <c r="F3" s="50"/>
      <c r="G3" s="50"/>
    </row>
    <row r="5" spans="2:7" x14ac:dyDescent="0.3">
      <c r="B5" s="15" t="s">
        <v>54</v>
      </c>
      <c r="C5" s="30" t="s">
        <v>3</v>
      </c>
      <c r="D5" s="31" t="s">
        <v>4</v>
      </c>
      <c r="E5" s="39" t="s">
        <v>5</v>
      </c>
      <c r="F5" s="40" t="s">
        <v>6</v>
      </c>
      <c r="G5" s="15" t="s">
        <v>55</v>
      </c>
    </row>
    <row r="7" spans="2:7" x14ac:dyDescent="0.3">
      <c r="B7" s="49" t="s">
        <v>56</v>
      </c>
      <c r="C7" s="50"/>
      <c r="D7" s="50"/>
      <c r="E7" s="50"/>
      <c r="F7" s="50"/>
    </row>
    <row r="8" spans="2:7" x14ac:dyDescent="0.3">
      <c r="B8" s="11" t="s">
        <v>57</v>
      </c>
      <c r="C8" s="32">
        <f>'1. Assumptions'!C7</f>
        <v>199000</v>
      </c>
      <c r="D8" s="32">
        <f>'1. Assumptions'!D7</f>
        <v>149000</v>
      </c>
      <c r="E8" s="32">
        <f>'1. Assumptions'!E7</f>
        <v>129000</v>
      </c>
      <c r="F8" s="41" t="s">
        <v>9</v>
      </c>
      <c r="G8" s="3" t="s">
        <v>58</v>
      </c>
    </row>
    <row r="9" spans="2:7" x14ac:dyDescent="0.3">
      <c r="B9" s="11" t="s">
        <v>59</v>
      </c>
      <c r="C9" s="32">
        <f>'1. Assumptions'!C15</f>
        <v>58000</v>
      </c>
      <c r="D9" s="32">
        <f>'1. Assumptions'!D15</f>
        <v>51000</v>
      </c>
      <c r="E9" s="32">
        <f>'1. Assumptions'!E15</f>
        <v>55000</v>
      </c>
      <c r="F9" s="41" t="s">
        <v>9</v>
      </c>
    </row>
    <row r="10" spans="2:7" x14ac:dyDescent="0.3">
      <c r="B10" s="17" t="s">
        <v>60</v>
      </c>
      <c r="C10" s="33">
        <f>C8-C9</f>
        <v>141000</v>
      </c>
      <c r="D10" s="33">
        <f>D8-D9</f>
        <v>98000</v>
      </c>
      <c r="E10" s="33">
        <f>E8-E9</f>
        <v>74000</v>
      </c>
      <c r="F10" s="42"/>
    </row>
    <row r="11" spans="2:7" x14ac:dyDescent="0.3">
      <c r="B11" s="17" t="s">
        <v>61</v>
      </c>
      <c r="C11" s="34">
        <f>IFERROR(C10/C8,0)</f>
        <v>0.70854271356783916</v>
      </c>
      <c r="D11" s="34">
        <f>IFERROR(D10/D8,0)</f>
        <v>0.65771812080536918</v>
      </c>
      <c r="E11" s="34">
        <f>IFERROR(E10/E8,0)</f>
        <v>0.5736434108527132</v>
      </c>
      <c r="F11" s="42"/>
      <c r="G11" s="3" t="s">
        <v>62</v>
      </c>
    </row>
    <row r="13" spans="2:7" x14ac:dyDescent="0.3">
      <c r="B13" s="49" t="s">
        <v>63</v>
      </c>
      <c r="C13" s="50"/>
      <c r="D13" s="50"/>
      <c r="E13" s="50"/>
      <c r="F13" s="50"/>
    </row>
    <row r="14" spans="2:7" x14ac:dyDescent="0.3">
      <c r="B14" s="11" t="s">
        <v>64</v>
      </c>
      <c r="C14" s="35">
        <f>'1. Assumptions'!C19</f>
        <v>22.222222222222221</v>
      </c>
      <c r="D14" s="35">
        <f>'1. Assumptions'!D19</f>
        <v>14.285714285714285</v>
      </c>
      <c r="E14" s="35">
        <f>'1. Assumptions'!E19</f>
        <v>9.5238095238095237</v>
      </c>
      <c r="F14" s="41" t="s">
        <v>65</v>
      </c>
    </row>
    <row r="15" spans="2:7" x14ac:dyDescent="0.3">
      <c r="B15" s="17" t="s">
        <v>66</v>
      </c>
      <c r="C15" s="33">
        <f>C10*C14</f>
        <v>3133333.333333333</v>
      </c>
      <c r="D15" s="33">
        <f>D10*D14</f>
        <v>1400000</v>
      </c>
      <c r="E15" s="33">
        <f>E10*E14</f>
        <v>704761.90476190473</v>
      </c>
      <c r="F15" s="42"/>
      <c r="G15" s="3" t="s">
        <v>67</v>
      </c>
    </row>
    <row r="17" spans="2:7" x14ac:dyDescent="0.3">
      <c r="B17" s="49" t="s">
        <v>68</v>
      </c>
      <c r="C17" s="50"/>
      <c r="D17" s="50"/>
      <c r="E17" s="50"/>
      <c r="F17" s="50"/>
    </row>
    <row r="18" spans="2:7" x14ac:dyDescent="0.3">
      <c r="B18" s="11" t="s">
        <v>69</v>
      </c>
      <c r="C18" s="32">
        <f>'1. Assumptions'!C22</f>
        <v>220000</v>
      </c>
      <c r="D18" s="32">
        <f>'1. Assumptions'!D22</f>
        <v>300000</v>
      </c>
      <c r="E18" s="32">
        <f>'1. Assumptions'!E22</f>
        <v>450000</v>
      </c>
      <c r="F18" s="41" t="s">
        <v>9</v>
      </c>
    </row>
    <row r="20" spans="2:7" x14ac:dyDescent="0.3">
      <c r="B20" s="49" t="s">
        <v>70</v>
      </c>
      <c r="C20" s="50"/>
      <c r="D20" s="50"/>
      <c r="E20" s="50"/>
      <c r="F20" s="50"/>
    </row>
    <row r="21" spans="2:7" x14ac:dyDescent="0.3">
      <c r="B21" s="17" t="s">
        <v>71</v>
      </c>
      <c r="C21" s="36">
        <f>IFERROR(C15/C18,0)</f>
        <v>14.24242424242424</v>
      </c>
      <c r="D21" s="36">
        <f>IFERROR(D15/D18,0)</f>
        <v>4.666666666666667</v>
      </c>
      <c r="E21" s="36">
        <f>IFERROR(E15/E18,0)</f>
        <v>1.5661375661375661</v>
      </c>
      <c r="F21" s="42"/>
      <c r="G21" s="3" t="s">
        <v>72</v>
      </c>
    </row>
    <row r="22" spans="2:7" x14ac:dyDescent="0.3">
      <c r="B22" s="17" t="s">
        <v>73</v>
      </c>
      <c r="C22" s="37">
        <f>IFERROR(C18/C10,0)</f>
        <v>1.5602836879432624</v>
      </c>
      <c r="D22" s="37">
        <f>IFERROR(D18/D10,0)</f>
        <v>3.0612244897959182</v>
      </c>
      <c r="E22" s="37">
        <f>IFERROR(E18/E10,0)</f>
        <v>6.0810810810810807</v>
      </c>
      <c r="F22" s="42"/>
      <c r="G22" s="3" t="s">
        <v>74</v>
      </c>
    </row>
    <row r="24" spans="2:7" x14ac:dyDescent="0.3">
      <c r="B24" s="49" t="s">
        <v>75</v>
      </c>
      <c r="C24" s="50"/>
      <c r="D24" s="50"/>
      <c r="E24" s="50"/>
      <c r="F24" s="50"/>
    </row>
    <row r="25" spans="2:7" x14ac:dyDescent="0.3">
      <c r="B25" s="15" t="s">
        <v>76</v>
      </c>
      <c r="C25" s="38" t="str">
        <f>IF(AND(C21&gt;=3,C22&lt;=12),"✓ HEALTHY",IF(OR(C21&lt;1,C22&gt;18),"✗ UNHEALTHY","⚠ WATCH"))</f>
        <v>✓ HEALTHY</v>
      </c>
      <c r="D25" s="38" t="str">
        <f>IF(AND(D21&gt;=3,D22&lt;=12),"✓ HEALTHY",IF(OR(D21&lt;1,D22&gt;18),"✗ UNHEALTHY","⚠ WATCH"))</f>
        <v>✓ HEALTHY</v>
      </c>
      <c r="E25" s="38" t="str">
        <f>IF(AND(E21&gt;=3,E22&lt;=12),"✓ HEALTHY",IF(OR(E21&lt;1,E22&gt;18),"✗ UNHEALTHY","⚠ WATCH"))</f>
        <v>⚠ WATCH</v>
      </c>
    </row>
  </sheetData>
  <mergeCells count="7">
    <mergeCell ref="B3:G3"/>
    <mergeCell ref="B7:F7"/>
    <mergeCell ref="B24:F24"/>
    <mergeCell ref="B2:F2"/>
    <mergeCell ref="B20:F20"/>
    <mergeCell ref="B17:F17"/>
    <mergeCell ref="B13:F13"/>
  </mergeCells>
  <conditionalFormatting sqref="C21:E21">
    <cfRule type="cellIs" dxfId="9" priority="2" operator="lessThan">
      <formula>1</formula>
    </cfRule>
    <cfRule type="cellIs" dxfId="8" priority="3" operator="between">
      <formula>1</formula>
      <formula>3</formula>
    </cfRule>
    <cfRule type="cellIs" dxfId="7" priority="4" operator="greaterThanOrEqual">
      <formula>3</formula>
    </cfRule>
  </conditionalFormatting>
  <conditionalFormatting sqref="C22:E22">
    <cfRule type="cellIs" dxfId="6" priority="11" operator="greaterThan">
      <formula>18</formula>
    </cfRule>
    <cfRule type="cellIs" dxfId="5" priority="12" operator="between">
      <formula>12</formula>
      <formula>18</formula>
    </cfRule>
    <cfRule type="cellIs" dxfId="4" priority="13" operator="lessThanOrEqual">
      <formula>12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A44"/>
  <sheetViews>
    <sheetView zoomScale="173" zoomScaleNormal="173" workbookViewId="0">
      <pane xSplit="2" ySplit="21" topLeftCell="C26" activePane="bottomRight" state="frozen"/>
      <selection pane="topRight"/>
      <selection pane="bottomLeft"/>
      <selection pane="bottomRight" activeCell="C40" sqref="C40"/>
    </sheetView>
  </sheetViews>
  <sheetFormatPr defaultColWidth="8.6640625" defaultRowHeight="14.4" x14ac:dyDescent="0.3"/>
  <cols>
    <col min="1" max="1" width="3" customWidth="1"/>
    <col min="2" max="2" width="36" customWidth="1"/>
    <col min="3" max="26" width="13" customWidth="1"/>
    <col min="27" max="27" width="16" customWidth="1"/>
  </cols>
  <sheetData>
    <row r="2" spans="2:8" ht="30" hidden="1" customHeight="1" x14ac:dyDescent="0.3">
      <c r="B2" s="52" t="s">
        <v>77</v>
      </c>
      <c r="C2" s="50"/>
      <c r="D2" s="50"/>
      <c r="E2" s="50"/>
      <c r="F2" s="50"/>
      <c r="G2" s="50"/>
      <c r="H2" s="50"/>
    </row>
    <row r="3" spans="2:8" hidden="1" x14ac:dyDescent="0.3"/>
    <row r="4" spans="2:8" ht="15" hidden="1" customHeight="1" x14ac:dyDescent="0.3">
      <c r="B4" s="1" t="s">
        <v>78</v>
      </c>
      <c r="C4" s="2" t="s">
        <v>4</v>
      </c>
      <c r="D4" s="51" t="s">
        <v>79</v>
      </c>
      <c r="E4" s="50"/>
      <c r="F4" s="50"/>
      <c r="G4" s="50"/>
      <c r="H4" s="50"/>
    </row>
    <row r="5" spans="2:8" hidden="1" x14ac:dyDescent="0.3"/>
    <row r="6" spans="2:8" hidden="1" x14ac:dyDescent="0.3">
      <c r="B6" s="4" t="s">
        <v>80</v>
      </c>
      <c r="C6" s="4">
        <f>MATCH(C4,{"Optimistic","Base","Pessimistic"},0)</f>
        <v>2</v>
      </c>
    </row>
    <row r="7" spans="2:8" hidden="1" x14ac:dyDescent="0.3">
      <c r="B7" s="5" t="s">
        <v>81</v>
      </c>
    </row>
    <row r="8" spans="2:8" hidden="1" x14ac:dyDescent="0.3">
      <c r="B8" s="6" t="s">
        <v>82</v>
      </c>
      <c r="C8" s="7">
        <f>CHOOSE($C$6,'1. Assumptions'!C7,'1. Assumptions'!D7,'1. Assumptions'!E7)</f>
        <v>149000</v>
      </c>
    </row>
    <row r="9" spans="2:8" hidden="1" x14ac:dyDescent="0.3">
      <c r="B9" s="6" t="s">
        <v>83</v>
      </c>
      <c r="C9" s="8">
        <f>CHOOSE($C$6,'1. Assumptions'!C8,'1. Assumptions'!D8,'1. Assumptions'!E8)</f>
        <v>5.0000000000000001E-3</v>
      </c>
    </row>
    <row r="10" spans="2:8" hidden="1" x14ac:dyDescent="0.3">
      <c r="B10" s="6" t="s">
        <v>84</v>
      </c>
      <c r="C10" s="7">
        <f>CHOOSE($C$6,'1. Assumptions'!C9,'1. Assumptions'!D9,'1. Assumptions'!E9)</f>
        <v>50000</v>
      </c>
    </row>
    <row r="11" spans="2:8" hidden="1" x14ac:dyDescent="0.3">
      <c r="B11" s="6" t="s">
        <v>85</v>
      </c>
      <c r="C11" s="7">
        <f>CHOOSE($C$6,'1. Assumptions'!C15,'1. Assumptions'!D15,'1. Assumptions'!E15)</f>
        <v>51000</v>
      </c>
    </row>
    <row r="12" spans="2:8" hidden="1" x14ac:dyDescent="0.3">
      <c r="B12" s="6" t="s">
        <v>86</v>
      </c>
      <c r="C12" s="8">
        <f>CHOOSE($C$6,'1. Assumptions'!C18,'1. Assumptions'!D18,'1. Assumptions'!E18)</f>
        <v>7.0000000000000007E-2</v>
      </c>
    </row>
    <row r="13" spans="2:8" hidden="1" x14ac:dyDescent="0.3">
      <c r="B13" s="6" t="s">
        <v>87</v>
      </c>
      <c r="C13" s="7">
        <f>CHOOSE($C$6,'1. Assumptions'!C22,'1. Assumptions'!D22,'1. Assumptions'!E22)</f>
        <v>300000</v>
      </c>
    </row>
    <row r="14" spans="2:8" hidden="1" x14ac:dyDescent="0.3">
      <c r="B14" s="6" t="s">
        <v>88</v>
      </c>
      <c r="C14" s="7">
        <f>CHOOSE($C$6,'1. Assumptions'!C28,'1. Assumptions'!D28,'1. Assumptions'!E28)</f>
        <v>75000000</v>
      </c>
    </row>
    <row r="15" spans="2:8" hidden="1" x14ac:dyDescent="0.3">
      <c r="B15" s="6" t="s">
        <v>89</v>
      </c>
      <c r="C15" s="7">
        <f>CHOOSE($C$6,'1. Assumptions'!C31,'1. Assumptions'!D31,'1. Assumptions'!E31)</f>
        <v>300000000</v>
      </c>
    </row>
    <row r="16" spans="2:8" hidden="1" x14ac:dyDescent="0.3">
      <c r="B16" s="6" t="s">
        <v>90</v>
      </c>
      <c r="C16" s="7">
        <f>CHOOSE($C$6,'1. Assumptions'!C32,'1. Assumptions'!D32,'1. Assumptions'!E32)</f>
        <v>1200000000</v>
      </c>
    </row>
    <row r="17" spans="2:27" hidden="1" x14ac:dyDescent="0.3">
      <c r="B17" s="6" t="s">
        <v>91</v>
      </c>
      <c r="C17" s="8">
        <f>CHOOSE($C$6,'1. Assumptions'!C36,'1. Assumptions'!D36,'1. Assumptions'!E36)</f>
        <v>1.5309470499731193E-2</v>
      </c>
    </row>
    <row r="20" spans="2:27" ht="16.05" customHeight="1" x14ac:dyDescent="0.3">
      <c r="B20" s="49" t="s">
        <v>92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</row>
    <row r="21" spans="2:27" x14ac:dyDescent="0.3">
      <c r="B21" s="9" t="s">
        <v>93</v>
      </c>
      <c r="C21" s="10" t="s">
        <v>94</v>
      </c>
      <c r="D21" s="10" t="s">
        <v>95</v>
      </c>
      <c r="E21" s="10" t="s">
        <v>96</v>
      </c>
      <c r="F21" s="10" t="s">
        <v>97</v>
      </c>
      <c r="G21" s="10" t="s">
        <v>98</v>
      </c>
      <c r="H21" s="10" t="s">
        <v>99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105</v>
      </c>
      <c r="O21" s="10" t="s">
        <v>106</v>
      </c>
      <c r="P21" s="10" t="s">
        <v>107</v>
      </c>
      <c r="Q21" s="10" t="s">
        <v>108</v>
      </c>
      <c r="R21" s="10" t="s">
        <v>109</v>
      </c>
      <c r="S21" s="10" t="s">
        <v>110</v>
      </c>
      <c r="T21" s="10" t="s">
        <v>111</v>
      </c>
      <c r="U21" s="10" t="s">
        <v>112</v>
      </c>
      <c r="V21" s="10" t="s">
        <v>113</v>
      </c>
      <c r="W21" s="10" t="s">
        <v>114</v>
      </c>
      <c r="X21" s="10" t="s">
        <v>115</v>
      </c>
      <c r="Y21" s="10" t="s">
        <v>116</v>
      </c>
      <c r="Z21" s="10" t="s">
        <v>117</v>
      </c>
      <c r="AA21" s="26" t="s">
        <v>118</v>
      </c>
    </row>
    <row r="22" spans="2:27" x14ac:dyDescent="0.3">
      <c r="B22" s="11" t="s">
        <v>119</v>
      </c>
      <c r="C22" s="12">
        <f t="shared" ref="C22:Z22" si="0">ROUND($C$10*$C$9,0)</f>
        <v>250</v>
      </c>
      <c r="D22" s="12">
        <f t="shared" si="0"/>
        <v>250</v>
      </c>
      <c r="E22" s="12">
        <f t="shared" si="0"/>
        <v>250</v>
      </c>
      <c r="F22" s="12">
        <f t="shared" si="0"/>
        <v>250</v>
      </c>
      <c r="G22" s="12">
        <f t="shared" si="0"/>
        <v>250</v>
      </c>
      <c r="H22" s="12">
        <f t="shared" si="0"/>
        <v>250</v>
      </c>
      <c r="I22" s="12">
        <f t="shared" si="0"/>
        <v>250</v>
      </c>
      <c r="J22" s="12">
        <f t="shared" si="0"/>
        <v>250</v>
      </c>
      <c r="K22" s="12">
        <f t="shared" si="0"/>
        <v>250</v>
      </c>
      <c r="L22" s="12">
        <f t="shared" si="0"/>
        <v>250</v>
      </c>
      <c r="M22" s="12">
        <f t="shared" si="0"/>
        <v>250</v>
      </c>
      <c r="N22" s="12">
        <f t="shared" si="0"/>
        <v>250</v>
      </c>
      <c r="O22" s="12">
        <f t="shared" si="0"/>
        <v>250</v>
      </c>
      <c r="P22" s="12">
        <f t="shared" si="0"/>
        <v>250</v>
      </c>
      <c r="Q22" s="12">
        <f t="shared" si="0"/>
        <v>250</v>
      </c>
      <c r="R22" s="12">
        <f t="shared" si="0"/>
        <v>250</v>
      </c>
      <c r="S22" s="12">
        <f t="shared" si="0"/>
        <v>250</v>
      </c>
      <c r="T22" s="12">
        <f t="shared" si="0"/>
        <v>250</v>
      </c>
      <c r="U22" s="12">
        <f t="shared" si="0"/>
        <v>250</v>
      </c>
      <c r="V22" s="12">
        <f t="shared" si="0"/>
        <v>250</v>
      </c>
      <c r="W22" s="12">
        <f t="shared" si="0"/>
        <v>250</v>
      </c>
      <c r="X22" s="12">
        <f t="shared" si="0"/>
        <v>250</v>
      </c>
      <c r="Y22" s="12">
        <f t="shared" si="0"/>
        <v>250</v>
      </c>
      <c r="Z22" s="12">
        <f t="shared" si="0"/>
        <v>250</v>
      </c>
      <c r="AA22" s="27">
        <f>SUM(C22:Z22)</f>
        <v>6000</v>
      </c>
    </row>
    <row r="23" spans="2:27" x14ac:dyDescent="0.3">
      <c r="B23" s="11" t="s">
        <v>120</v>
      </c>
      <c r="C23" s="12">
        <f>C22</f>
        <v>250</v>
      </c>
      <c r="D23" s="12">
        <f t="shared" ref="D23:Z23" si="1">C23*(1-$C$12)+D22</f>
        <v>482.5</v>
      </c>
      <c r="E23" s="12">
        <f t="shared" si="1"/>
        <v>698.72499999999991</v>
      </c>
      <c r="F23" s="12">
        <f t="shared" si="1"/>
        <v>899.8142499999999</v>
      </c>
      <c r="G23" s="12">
        <f t="shared" si="1"/>
        <v>1086.8272524999998</v>
      </c>
      <c r="H23" s="12">
        <f t="shared" si="1"/>
        <v>1260.7493448249998</v>
      </c>
      <c r="I23" s="12">
        <f t="shared" si="1"/>
        <v>1422.4968906872498</v>
      </c>
      <c r="J23" s="12">
        <f t="shared" si="1"/>
        <v>1572.9221083391421</v>
      </c>
      <c r="K23" s="12">
        <f t="shared" si="1"/>
        <v>1712.8175607554022</v>
      </c>
      <c r="L23" s="12">
        <f t="shared" si="1"/>
        <v>1842.9203315025238</v>
      </c>
      <c r="M23" s="12">
        <f t="shared" si="1"/>
        <v>1963.915908297347</v>
      </c>
      <c r="N23" s="12">
        <f t="shared" si="1"/>
        <v>2076.4417947165325</v>
      </c>
      <c r="O23" s="12">
        <f t="shared" si="1"/>
        <v>2181.0908690863753</v>
      </c>
      <c r="P23" s="12">
        <f t="shared" si="1"/>
        <v>2278.4145082503292</v>
      </c>
      <c r="Q23" s="12">
        <f t="shared" si="1"/>
        <v>2368.9254926728058</v>
      </c>
      <c r="R23" s="12">
        <f t="shared" si="1"/>
        <v>2453.1007081857092</v>
      </c>
      <c r="S23" s="12">
        <f t="shared" si="1"/>
        <v>2531.3836586127095</v>
      </c>
      <c r="T23" s="12">
        <f t="shared" si="1"/>
        <v>2604.1868025098197</v>
      </c>
      <c r="U23" s="12">
        <f t="shared" si="1"/>
        <v>2671.8937263341322</v>
      </c>
      <c r="V23" s="12">
        <f t="shared" si="1"/>
        <v>2734.8611654907427</v>
      </c>
      <c r="W23" s="12">
        <f t="shared" si="1"/>
        <v>2793.4208839063904</v>
      </c>
      <c r="X23" s="12">
        <f t="shared" si="1"/>
        <v>2847.8814220329427</v>
      </c>
      <c r="Y23" s="12">
        <f t="shared" si="1"/>
        <v>2898.5297224906367</v>
      </c>
      <c r="Z23" s="12">
        <f t="shared" si="1"/>
        <v>2945.632641916292</v>
      </c>
    </row>
    <row r="25" spans="2:27" x14ac:dyDescent="0.3">
      <c r="B25" s="13" t="s">
        <v>121</v>
      </c>
      <c r="C25" s="14">
        <f t="shared" ref="C25:Z25" si="2">C23*$C$8</f>
        <v>37250000</v>
      </c>
      <c r="D25" s="14">
        <f t="shared" si="2"/>
        <v>71892500</v>
      </c>
      <c r="E25" s="14">
        <f t="shared" si="2"/>
        <v>104110024.99999999</v>
      </c>
      <c r="F25" s="14">
        <f t="shared" si="2"/>
        <v>134072323.24999999</v>
      </c>
      <c r="G25" s="14">
        <f t="shared" si="2"/>
        <v>161937260.62249997</v>
      </c>
      <c r="H25" s="14">
        <f t="shared" si="2"/>
        <v>187851652.37892497</v>
      </c>
      <c r="I25" s="14">
        <f t="shared" si="2"/>
        <v>211952036.71240023</v>
      </c>
      <c r="J25" s="14">
        <f t="shared" si="2"/>
        <v>234365394.14253217</v>
      </c>
      <c r="K25" s="14">
        <f t="shared" si="2"/>
        <v>255209816.55255494</v>
      </c>
      <c r="L25" s="14">
        <f t="shared" si="2"/>
        <v>274595129.39387608</v>
      </c>
      <c r="M25" s="14">
        <f t="shared" si="2"/>
        <v>292623470.33630472</v>
      </c>
      <c r="N25" s="14">
        <f t="shared" si="2"/>
        <v>309389827.41276336</v>
      </c>
      <c r="O25" s="14">
        <f t="shared" si="2"/>
        <v>324982539.4938699</v>
      </c>
      <c r="P25" s="14">
        <f t="shared" si="2"/>
        <v>339483761.72929907</v>
      </c>
      <c r="Q25" s="14">
        <f t="shared" si="2"/>
        <v>352969898.40824807</v>
      </c>
      <c r="R25" s="14">
        <f t="shared" si="2"/>
        <v>365512005.51967067</v>
      </c>
      <c r="S25" s="14">
        <f t="shared" si="2"/>
        <v>377176165.13329369</v>
      </c>
      <c r="T25" s="14">
        <f t="shared" si="2"/>
        <v>388023833.57396311</v>
      </c>
      <c r="U25" s="14">
        <f t="shared" si="2"/>
        <v>398112165.2237857</v>
      </c>
      <c r="V25" s="14">
        <f t="shared" si="2"/>
        <v>407494313.65812063</v>
      </c>
      <c r="W25" s="14">
        <f t="shared" si="2"/>
        <v>416219711.70205218</v>
      </c>
      <c r="X25" s="14">
        <f t="shared" si="2"/>
        <v>424334331.88290846</v>
      </c>
      <c r="Y25" s="14">
        <f t="shared" si="2"/>
        <v>431880928.65110487</v>
      </c>
      <c r="Z25" s="14">
        <f t="shared" si="2"/>
        <v>438899263.64552748</v>
      </c>
      <c r="AA25" s="28">
        <f t="shared" ref="AA25:AA30" si="3">SUM(C25:Z25)</f>
        <v>6940338354.4237003</v>
      </c>
    </row>
    <row r="26" spans="2:27" x14ac:dyDescent="0.3">
      <c r="B26" s="11" t="s">
        <v>122</v>
      </c>
      <c r="C26" s="12">
        <f t="shared" ref="C26:Z26" si="4">C23*$C$11</f>
        <v>12750000</v>
      </c>
      <c r="D26" s="12">
        <f t="shared" si="4"/>
        <v>24607500</v>
      </c>
      <c r="E26" s="12">
        <f t="shared" si="4"/>
        <v>35634974.999999993</v>
      </c>
      <c r="F26" s="12">
        <f t="shared" si="4"/>
        <v>45890526.749999993</v>
      </c>
      <c r="G26" s="12">
        <f t="shared" si="4"/>
        <v>55428189.87749999</v>
      </c>
      <c r="H26" s="12">
        <f t="shared" si="4"/>
        <v>64298216.586074986</v>
      </c>
      <c r="I26" s="12">
        <f t="shared" si="4"/>
        <v>72547341.425049737</v>
      </c>
      <c r="J26" s="12">
        <f t="shared" si="4"/>
        <v>80219027.525296256</v>
      </c>
      <c r="K26" s="12">
        <f t="shared" si="4"/>
        <v>87353695.598525509</v>
      </c>
      <c r="L26" s="12">
        <f t="shared" si="4"/>
        <v>93988936.906628713</v>
      </c>
      <c r="M26" s="12">
        <f t="shared" si="4"/>
        <v>100159711.3231647</v>
      </c>
      <c r="N26" s="12">
        <f t="shared" si="4"/>
        <v>105898531.53054316</v>
      </c>
      <c r="O26" s="12">
        <f t="shared" si="4"/>
        <v>111235634.32340515</v>
      </c>
      <c r="P26" s="12">
        <f t="shared" si="4"/>
        <v>116199139.92076679</v>
      </c>
      <c r="Q26" s="12">
        <f t="shared" si="4"/>
        <v>120815200.12631309</v>
      </c>
      <c r="R26" s="12">
        <f t="shared" si="4"/>
        <v>125108136.11747117</v>
      </c>
      <c r="S26" s="12">
        <f t="shared" si="4"/>
        <v>129100566.58924818</v>
      </c>
      <c r="T26" s="12">
        <f t="shared" si="4"/>
        <v>132813526.92800081</v>
      </c>
      <c r="U26" s="12">
        <f t="shared" si="4"/>
        <v>136266580.04304075</v>
      </c>
      <c r="V26" s="12">
        <f t="shared" si="4"/>
        <v>139477919.44002786</v>
      </c>
      <c r="W26" s="12">
        <f t="shared" si="4"/>
        <v>142464465.0792259</v>
      </c>
      <c r="X26" s="12">
        <f t="shared" si="4"/>
        <v>145241952.52368009</v>
      </c>
      <c r="Y26" s="12">
        <f t="shared" si="4"/>
        <v>147825015.84702247</v>
      </c>
      <c r="Z26" s="12">
        <f t="shared" si="4"/>
        <v>150227264.73773089</v>
      </c>
      <c r="AA26" s="27">
        <f t="shared" si="3"/>
        <v>2375552054.1987166</v>
      </c>
    </row>
    <row r="27" spans="2:27" x14ac:dyDescent="0.3">
      <c r="B27" s="15" t="s">
        <v>123</v>
      </c>
      <c r="C27" s="16">
        <f t="shared" ref="C27:Z27" si="5">C25-C26</f>
        <v>24500000</v>
      </c>
      <c r="D27" s="16">
        <f t="shared" si="5"/>
        <v>47285000</v>
      </c>
      <c r="E27" s="16">
        <f t="shared" si="5"/>
        <v>68475050</v>
      </c>
      <c r="F27" s="16">
        <f t="shared" si="5"/>
        <v>88181796.5</v>
      </c>
      <c r="G27" s="16">
        <f t="shared" si="5"/>
        <v>106509070.74499997</v>
      </c>
      <c r="H27" s="16">
        <f t="shared" si="5"/>
        <v>123553435.79284999</v>
      </c>
      <c r="I27" s="16">
        <f t="shared" si="5"/>
        <v>139404695.28735048</v>
      </c>
      <c r="J27" s="16">
        <f t="shared" si="5"/>
        <v>154146366.6172359</v>
      </c>
      <c r="K27" s="16">
        <f t="shared" si="5"/>
        <v>167856120.95402944</v>
      </c>
      <c r="L27" s="16">
        <f t="shared" si="5"/>
        <v>180606192.48724735</v>
      </c>
      <c r="M27" s="16">
        <f t="shared" si="5"/>
        <v>192463759.01314002</v>
      </c>
      <c r="N27" s="16">
        <f t="shared" si="5"/>
        <v>203491295.88222021</v>
      </c>
      <c r="O27" s="16">
        <f t="shared" si="5"/>
        <v>213746905.17046475</v>
      </c>
      <c r="P27" s="16">
        <f t="shared" si="5"/>
        <v>223284621.8085323</v>
      </c>
      <c r="Q27" s="16">
        <f t="shared" si="5"/>
        <v>232154698.28193498</v>
      </c>
      <c r="R27" s="16">
        <f t="shared" si="5"/>
        <v>240403869.40219951</v>
      </c>
      <c r="S27" s="16">
        <f t="shared" si="5"/>
        <v>248075598.54404551</v>
      </c>
      <c r="T27" s="16">
        <f t="shared" si="5"/>
        <v>255210306.6459623</v>
      </c>
      <c r="U27" s="16">
        <f t="shared" si="5"/>
        <v>261845585.18074495</v>
      </c>
      <c r="V27" s="16">
        <f t="shared" si="5"/>
        <v>268016394.21809277</v>
      </c>
      <c r="W27" s="16">
        <f t="shared" si="5"/>
        <v>273755246.62282628</v>
      </c>
      <c r="X27" s="16">
        <f t="shared" si="5"/>
        <v>279092379.35922837</v>
      </c>
      <c r="Y27" s="16">
        <f t="shared" si="5"/>
        <v>284055912.80408239</v>
      </c>
      <c r="Z27" s="16">
        <f t="shared" si="5"/>
        <v>288671998.90779662</v>
      </c>
      <c r="AA27" s="27">
        <f t="shared" si="3"/>
        <v>4564786300.2249842</v>
      </c>
    </row>
    <row r="28" spans="2:27" x14ac:dyDescent="0.3">
      <c r="B28" s="11" t="s">
        <v>124</v>
      </c>
      <c r="C28" s="12">
        <f t="shared" ref="C28:Z28" si="6">C22*$C$13</f>
        <v>75000000</v>
      </c>
      <c r="D28" s="12">
        <f t="shared" si="6"/>
        <v>75000000</v>
      </c>
      <c r="E28" s="12">
        <f t="shared" si="6"/>
        <v>75000000</v>
      </c>
      <c r="F28" s="12">
        <f t="shared" si="6"/>
        <v>75000000</v>
      </c>
      <c r="G28" s="12">
        <f t="shared" si="6"/>
        <v>75000000</v>
      </c>
      <c r="H28" s="12">
        <f t="shared" si="6"/>
        <v>75000000</v>
      </c>
      <c r="I28" s="12">
        <f t="shared" si="6"/>
        <v>75000000</v>
      </c>
      <c r="J28" s="12">
        <f t="shared" si="6"/>
        <v>75000000</v>
      </c>
      <c r="K28" s="12">
        <f t="shared" si="6"/>
        <v>75000000</v>
      </c>
      <c r="L28" s="12">
        <f t="shared" si="6"/>
        <v>75000000</v>
      </c>
      <c r="M28" s="12">
        <f t="shared" si="6"/>
        <v>75000000</v>
      </c>
      <c r="N28" s="12">
        <f t="shared" si="6"/>
        <v>75000000</v>
      </c>
      <c r="O28" s="12">
        <f t="shared" si="6"/>
        <v>75000000</v>
      </c>
      <c r="P28" s="12">
        <f t="shared" si="6"/>
        <v>75000000</v>
      </c>
      <c r="Q28" s="12">
        <f t="shared" si="6"/>
        <v>75000000</v>
      </c>
      <c r="R28" s="12">
        <f t="shared" si="6"/>
        <v>75000000</v>
      </c>
      <c r="S28" s="12">
        <f t="shared" si="6"/>
        <v>75000000</v>
      </c>
      <c r="T28" s="12">
        <f t="shared" si="6"/>
        <v>75000000</v>
      </c>
      <c r="U28" s="12">
        <f t="shared" si="6"/>
        <v>75000000</v>
      </c>
      <c r="V28" s="12">
        <f t="shared" si="6"/>
        <v>75000000</v>
      </c>
      <c r="W28" s="12">
        <f t="shared" si="6"/>
        <v>75000000</v>
      </c>
      <c r="X28" s="12">
        <f t="shared" si="6"/>
        <v>75000000</v>
      </c>
      <c r="Y28" s="12">
        <f t="shared" si="6"/>
        <v>75000000</v>
      </c>
      <c r="Z28" s="12">
        <f t="shared" si="6"/>
        <v>75000000</v>
      </c>
      <c r="AA28" s="27">
        <f t="shared" si="3"/>
        <v>1800000000</v>
      </c>
    </row>
    <row r="29" spans="2:27" x14ac:dyDescent="0.3">
      <c r="B29" s="11" t="s">
        <v>125</v>
      </c>
      <c r="C29" s="12">
        <f t="shared" ref="C29:Z29" si="7">$C$14</f>
        <v>75000000</v>
      </c>
      <c r="D29" s="12">
        <f t="shared" si="7"/>
        <v>75000000</v>
      </c>
      <c r="E29" s="12">
        <f t="shared" si="7"/>
        <v>75000000</v>
      </c>
      <c r="F29" s="12">
        <f t="shared" si="7"/>
        <v>75000000</v>
      </c>
      <c r="G29" s="12">
        <f t="shared" si="7"/>
        <v>75000000</v>
      </c>
      <c r="H29" s="12">
        <f t="shared" si="7"/>
        <v>75000000</v>
      </c>
      <c r="I29" s="12">
        <f t="shared" si="7"/>
        <v>75000000</v>
      </c>
      <c r="J29" s="12">
        <f t="shared" si="7"/>
        <v>75000000</v>
      </c>
      <c r="K29" s="12">
        <f t="shared" si="7"/>
        <v>75000000</v>
      </c>
      <c r="L29" s="12">
        <f t="shared" si="7"/>
        <v>75000000</v>
      </c>
      <c r="M29" s="12">
        <f t="shared" si="7"/>
        <v>75000000</v>
      </c>
      <c r="N29" s="12">
        <f t="shared" si="7"/>
        <v>75000000</v>
      </c>
      <c r="O29" s="12">
        <f t="shared" si="7"/>
        <v>75000000</v>
      </c>
      <c r="P29" s="12">
        <f t="shared" si="7"/>
        <v>75000000</v>
      </c>
      <c r="Q29" s="12">
        <f t="shared" si="7"/>
        <v>75000000</v>
      </c>
      <c r="R29" s="12">
        <f t="shared" si="7"/>
        <v>75000000</v>
      </c>
      <c r="S29" s="12">
        <f t="shared" si="7"/>
        <v>75000000</v>
      </c>
      <c r="T29" s="12">
        <f t="shared" si="7"/>
        <v>75000000</v>
      </c>
      <c r="U29" s="12">
        <f t="shared" si="7"/>
        <v>75000000</v>
      </c>
      <c r="V29" s="12">
        <f t="shared" si="7"/>
        <v>75000000</v>
      </c>
      <c r="W29" s="12">
        <f t="shared" si="7"/>
        <v>75000000</v>
      </c>
      <c r="X29" s="12">
        <f t="shared" si="7"/>
        <v>75000000</v>
      </c>
      <c r="Y29" s="12">
        <f t="shared" si="7"/>
        <v>75000000</v>
      </c>
      <c r="Z29" s="12">
        <f t="shared" si="7"/>
        <v>75000000</v>
      </c>
      <c r="AA29" s="27">
        <f t="shared" si="3"/>
        <v>1800000000</v>
      </c>
    </row>
    <row r="30" spans="2:27" x14ac:dyDescent="0.3">
      <c r="B30" s="17" t="s">
        <v>126</v>
      </c>
      <c r="C30" s="18">
        <f t="shared" ref="C30:Z30" si="8">C27-C28-C29</f>
        <v>-125500000</v>
      </c>
      <c r="D30" s="18">
        <f t="shared" si="8"/>
        <v>-102715000</v>
      </c>
      <c r="E30" s="18">
        <f t="shared" si="8"/>
        <v>-81524950</v>
      </c>
      <c r="F30" s="18">
        <f t="shared" si="8"/>
        <v>-61818203.5</v>
      </c>
      <c r="G30" s="18">
        <f t="shared" si="8"/>
        <v>-43490929.255000025</v>
      </c>
      <c r="H30" s="18">
        <f t="shared" si="8"/>
        <v>-26446564.207150012</v>
      </c>
      <c r="I30" s="18">
        <f t="shared" si="8"/>
        <v>-10595304.712649524</v>
      </c>
      <c r="J30" s="18">
        <f t="shared" si="8"/>
        <v>4146366.617235899</v>
      </c>
      <c r="K30" s="18">
        <f t="shared" si="8"/>
        <v>17856120.954029441</v>
      </c>
      <c r="L30" s="18">
        <f t="shared" si="8"/>
        <v>30606192.487247348</v>
      </c>
      <c r="M30" s="18">
        <f t="shared" si="8"/>
        <v>42463759.013140023</v>
      </c>
      <c r="N30" s="18">
        <f t="shared" si="8"/>
        <v>53491295.882220209</v>
      </c>
      <c r="O30" s="18">
        <f t="shared" si="8"/>
        <v>63746905.170464754</v>
      </c>
      <c r="P30" s="18">
        <f t="shared" si="8"/>
        <v>73284621.808532298</v>
      </c>
      <c r="Q30" s="18">
        <f t="shared" si="8"/>
        <v>82154698.281934977</v>
      </c>
      <c r="R30" s="18">
        <f t="shared" si="8"/>
        <v>90403869.402199507</v>
      </c>
      <c r="S30" s="18">
        <f t="shared" si="8"/>
        <v>98075598.544045508</v>
      </c>
      <c r="T30" s="18">
        <f t="shared" si="8"/>
        <v>105210306.6459623</v>
      </c>
      <c r="U30" s="18">
        <f t="shared" si="8"/>
        <v>111845585.18074495</v>
      </c>
      <c r="V30" s="18">
        <f t="shared" si="8"/>
        <v>118016394.21809277</v>
      </c>
      <c r="W30" s="18">
        <f t="shared" si="8"/>
        <v>123755246.62282628</v>
      </c>
      <c r="X30" s="18">
        <f t="shared" si="8"/>
        <v>129092379.35922837</v>
      </c>
      <c r="Y30" s="18">
        <f t="shared" si="8"/>
        <v>134055912.80408239</v>
      </c>
      <c r="Z30" s="18">
        <f t="shared" si="8"/>
        <v>138671998.90779662</v>
      </c>
      <c r="AA30" s="29">
        <f t="shared" si="3"/>
        <v>964786300.22498417</v>
      </c>
    </row>
    <row r="32" spans="2:27" x14ac:dyDescent="0.3">
      <c r="B32" s="11" t="s">
        <v>127</v>
      </c>
      <c r="C32" s="12">
        <f>C30-$C$15</f>
        <v>-425500000</v>
      </c>
      <c r="D32" s="12">
        <f t="shared" ref="D32:Z32" si="9">D30</f>
        <v>-102715000</v>
      </c>
      <c r="E32" s="12">
        <f t="shared" si="9"/>
        <v>-81524950</v>
      </c>
      <c r="F32" s="12">
        <f t="shared" si="9"/>
        <v>-61818203.5</v>
      </c>
      <c r="G32" s="12">
        <f t="shared" si="9"/>
        <v>-43490929.255000025</v>
      </c>
      <c r="H32" s="12">
        <f t="shared" si="9"/>
        <v>-26446564.207150012</v>
      </c>
      <c r="I32" s="12">
        <f t="shared" si="9"/>
        <v>-10595304.712649524</v>
      </c>
      <c r="J32" s="12">
        <f t="shared" si="9"/>
        <v>4146366.617235899</v>
      </c>
      <c r="K32" s="12">
        <f t="shared" si="9"/>
        <v>17856120.954029441</v>
      </c>
      <c r="L32" s="12">
        <f t="shared" si="9"/>
        <v>30606192.487247348</v>
      </c>
      <c r="M32" s="12">
        <f t="shared" si="9"/>
        <v>42463759.013140023</v>
      </c>
      <c r="N32" s="12">
        <f t="shared" si="9"/>
        <v>53491295.882220209</v>
      </c>
      <c r="O32" s="12">
        <f t="shared" si="9"/>
        <v>63746905.170464754</v>
      </c>
      <c r="P32" s="12">
        <f t="shared" si="9"/>
        <v>73284621.808532298</v>
      </c>
      <c r="Q32" s="12">
        <f t="shared" si="9"/>
        <v>82154698.281934977</v>
      </c>
      <c r="R32" s="12">
        <f t="shared" si="9"/>
        <v>90403869.402199507</v>
      </c>
      <c r="S32" s="12">
        <f t="shared" si="9"/>
        <v>98075598.544045508</v>
      </c>
      <c r="T32" s="12">
        <f t="shared" si="9"/>
        <v>105210306.6459623</v>
      </c>
      <c r="U32" s="12">
        <f t="shared" si="9"/>
        <v>111845585.18074495</v>
      </c>
      <c r="V32" s="12">
        <f t="shared" si="9"/>
        <v>118016394.21809277</v>
      </c>
      <c r="W32" s="12">
        <f t="shared" si="9"/>
        <v>123755246.62282628</v>
      </c>
      <c r="X32" s="12">
        <f t="shared" si="9"/>
        <v>129092379.35922837</v>
      </c>
      <c r="Y32" s="12">
        <f t="shared" si="9"/>
        <v>134055912.80408239</v>
      </c>
      <c r="Z32" s="12">
        <f t="shared" si="9"/>
        <v>138671998.90779662</v>
      </c>
      <c r="AA32" s="27">
        <f>SUM(C32:Z32)</f>
        <v>664786300.22498417</v>
      </c>
    </row>
    <row r="33" spans="2:26" x14ac:dyDescent="0.3">
      <c r="B33" s="19" t="s">
        <v>128</v>
      </c>
      <c r="C33" s="20">
        <f>$C$16+C32</f>
        <v>774500000</v>
      </c>
      <c r="D33" s="20">
        <f t="shared" ref="D33:Z33" si="10">C33+D32</f>
        <v>671785000</v>
      </c>
      <c r="E33" s="20">
        <f t="shared" si="10"/>
        <v>590260050</v>
      </c>
      <c r="F33" s="20">
        <f t="shared" si="10"/>
        <v>528441846.5</v>
      </c>
      <c r="G33" s="20">
        <f t="shared" si="10"/>
        <v>484950917.245</v>
      </c>
      <c r="H33" s="20">
        <f t="shared" si="10"/>
        <v>458504353.03785002</v>
      </c>
      <c r="I33" s="20">
        <f t="shared" si="10"/>
        <v>447909048.3252005</v>
      </c>
      <c r="J33" s="20">
        <f t="shared" si="10"/>
        <v>452055414.9424364</v>
      </c>
      <c r="K33" s="20">
        <f t="shared" si="10"/>
        <v>469911535.89646584</v>
      </c>
      <c r="L33" s="20">
        <f t="shared" si="10"/>
        <v>500517728.38371319</v>
      </c>
      <c r="M33" s="20">
        <f t="shared" si="10"/>
        <v>542981487.39685321</v>
      </c>
      <c r="N33" s="20">
        <f t="shared" si="10"/>
        <v>596472783.27907348</v>
      </c>
      <c r="O33" s="20">
        <f t="shared" si="10"/>
        <v>660219688.44953823</v>
      </c>
      <c r="P33" s="20">
        <f t="shared" si="10"/>
        <v>733504310.25807047</v>
      </c>
      <c r="Q33" s="20">
        <f t="shared" si="10"/>
        <v>815659008.54000545</v>
      </c>
      <c r="R33" s="20">
        <f t="shared" si="10"/>
        <v>906062877.94220495</v>
      </c>
      <c r="S33" s="20">
        <f t="shared" si="10"/>
        <v>1004138476.4862504</v>
      </c>
      <c r="T33" s="20">
        <f t="shared" si="10"/>
        <v>1109348783.1322126</v>
      </c>
      <c r="U33" s="20">
        <f t="shared" si="10"/>
        <v>1221194368.3129575</v>
      </c>
      <c r="V33" s="20">
        <f t="shared" si="10"/>
        <v>1339210762.5310502</v>
      </c>
      <c r="W33" s="20">
        <f t="shared" si="10"/>
        <v>1462966009.1538765</v>
      </c>
      <c r="X33" s="20">
        <f t="shared" si="10"/>
        <v>1592058388.5131049</v>
      </c>
      <c r="Y33" s="20">
        <f t="shared" si="10"/>
        <v>1726114301.3171873</v>
      </c>
      <c r="Z33" s="20">
        <f t="shared" si="10"/>
        <v>1864786300.2249839</v>
      </c>
    </row>
    <row r="36" spans="2:26" x14ac:dyDescent="0.3">
      <c r="B36" s="49" t="s">
        <v>129</v>
      </c>
      <c r="C36" s="50"/>
      <c r="D36" s="50"/>
      <c r="E36" s="50"/>
      <c r="F36" s="50"/>
      <c r="G36" s="50"/>
      <c r="H36" s="50"/>
      <c r="I36" s="50"/>
      <c r="J36" s="50"/>
    </row>
    <row r="37" spans="2:26" x14ac:dyDescent="0.3">
      <c r="B37" s="15" t="s">
        <v>130</v>
      </c>
      <c r="C37" s="21">
        <f>(NPV($C$17,D32:Z32)+C32)/1000000</f>
        <v>350.28695781497942</v>
      </c>
      <c r="D37" s="4" t="str">
        <f>"(target: &gt; 0)"</f>
        <v>(target: &gt; 0)</v>
      </c>
    </row>
    <row r="38" spans="2:26" x14ac:dyDescent="0.3">
      <c r="B38" s="15" t="s">
        <v>131</v>
      </c>
      <c r="C38" s="22">
        <f>IFERROR((1+IRR(C32:Z32))^12-1,0)</f>
        <v>0.60828843297527824</v>
      </c>
      <c r="D38" s="4" t="str">
        <f>"(target: &gt; "&amp;TEXT(CHOOSE($C$6,'1. Assumptions'!C35,'1. Assumptions'!D35,'1. Assumptions'!E35),"0.0%")&amp;")"</f>
        <v>(target: &gt; 20.0%)</v>
      </c>
    </row>
    <row r="39" spans="2:26" x14ac:dyDescent="0.3">
      <c r="B39" s="15" t="s">
        <v>132</v>
      </c>
      <c r="C39" s="23">
        <f>IFERROR(MATCH(TRUE(),INDEX(C41:Z41&gt;=0,0),0),"&gt; 24")</f>
        <v>19</v>
      </c>
      <c r="D39" s="4" t="str">
        <f>"(target: &lt; 24)"</f>
        <v>(target: &lt; 24)</v>
      </c>
    </row>
    <row r="40" spans="2:26" x14ac:dyDescent="0.3">
      <c r="B40" s="15" t="s">
        <v>133</v>
      </c>
      <c r="C40" s="23" t="str">
        <f>IFERROR(MATCH(TRUE(),INDEX(C33:Z33&lt;0,0),0)-1,"&gt;= 24")</f>
        <v>&gt;= 24</v>
      </c>
      <c r="D40" s="4" t="str">
        <f>"(target: &gt;= 12)"</f>
        <v>(target: &gt;= 12)</v>
      </c>
    </row>
    <row r="41" spans="2:26" x14ac:dyDescent="0.3">
      <c r="B41" s="24" t="s">
        <v>134</v>
      </c>
      <c r="C41" s="25">
        <f>C32</f>
        <v>-425500000</v>
      </c>
      <c r="D41" s="25">
        <f t="shared" ref="D41:Z41" si="11">C41+D32</f>
        <v>-528215000</v>
      </c>
      <c r="E41" s="25">
        <f t="shared" si="11"/>
        <v>-609739950</v>
      </c>
      <c r="F41" s="25">
        <f t="shared" si="11"/>
        <v>-671558153.5</v>
      </c>
      <c r="G41" s="25">
        <f t="shared" si="11"/>
        <v>-715049082.755</v>
      </c>
      <c r="H41" s="25">
        <f t="shared" si="11"/>
        <v>-741495646.96214998</v>
      </c>
      <c r="I41" s="25">
        <f t="shared" si="11"/>
        <v>-752090951.67479944</v>
      </c>
      <c r="J41" s="25">
        <f t="shared" si="11"/>
        <v>-747944585.05756354</v>
      </c>
      <c r="K41" s="25">
        <f t="shared" si="11"/>
        <v>-730088464.1035341</v>
      </c>
      <c r="L41" s="25">
        <f t="shared" si="11"/>
        <v>-699482271.61628675</v>
      </c>
      <c r="M41" s="25">
        <f t="shared" si="11"/>
        <v>-657018512.60314679</v>
      </c>
      <c r="N41" s="25">
        <f t="shared" si="11"/>
        <v>-603527216.72092652</v>
      </c>
      <c r="O41" s="25">
        <f t="shared" si="11"/>
        <v>-539780311.55046177</v>
      </c>
      <c r="P41" s="25">
        <f t="shared" si="11"/>
        <v>-466495689.74192947</v>
      </c>
      <c r="Q41" s="25">
        <f t="shared" si="11"/>
        <v>-384340991.45999449</v>
      </c>
      <c r="R41" s="25">
        <f t="shared" si="11"/>
        <v>-293937122.05779499</v>
      </c>
      <c r="S41" s="25">
        <f t="shared" si="11"/>
        <v>-195861523.51374948</v>
      </c>
      <c r="T41" s="25">
        <f t="shared" si="11"/>
        <v>-90651216.867787182</v>
      </c>
      <c r="U41" s="25">
        <f t="shared" si="11"/>
        <v>21194368.312957764</v>
      </c>
      <c r="V41" s="25">
        <f t="shared" si="11"/>
        <v>139210762.53105053</v>
      </c>
      <c r="W41" s="25">
        <f t="shared" si="11"/>
        <v>262966009.15387681</v>
      </c>
      <c r="X41" s="25">
        <f t="shared" si="11"/>
        <v>392058388.51310515</v>
      </c>
      <c r="Y41" s="25">
        <f t="shared" si="11"/>
        <v>526114301.31718755</v>
      </c>
      <c r="Z41" s="25">
        <f t="shared" si="11"/>
        <v>664786300.22498417</v>
      </c>
    </row>
    <row r="43" spans="2:26" x14ac:dyDescent="0.3">
      <c r="B43" s="49" t="s">
        <v>135</v>
      </c>
      <c r="C43" s="50"/>
      <c r="D43" s="50"/>
      <c r="E43" s="50"/>
      <c r="F43" s="50"/>
      <c r="G43" s="50"/>
      <c r="H43" s="50"/>
      <c r="I43" s="50"/>
      <c r="J43" s="50"/>
    </row>
    <row r="44" spans="2:26" ht="17.55" customHeight="1" x14ac:dyDescent="0.3">
      <c r="B44" s="15" t="s">
        <v>136</v>
      </c>
      <c r="C44" s="56" t="str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>✓ GO — NPV+ và IRR &gt; WACC</v>
      </c>
      <c r="D44" s="50"/>
      <c r="E44" s="50"/>
      <c r="F44" s="50"/>
      <c r="G44" s="50"/>
      <c r="H44" s="50"/>
      <c r="I44" s="50"/>
      <c r="J44" s="50"/>
    </row>
  </sheetData>
  <mergeCells count="6">
    <mergeCell ref="D4:H4"/>
    <mergeCell ref="B36:J36"/>
    <mergeCell ref="B2:H2"/>
    <mergeCell ref="C44:J44"/>
    <mergeCell ref="B43:J43"/>
    <mergeCell ref="B20:AA20"/>
  </mergeCells>
  <conditionalFormatting sqref="C37">
    <cfRule type="cellIs" dxfId="3" priority="26" operator="greaterThan">
      <formula>0</formula>
    </cfRule>
    <cfRule type="cellIs" dxfId="2" priority="27" operator="lessThanOrEqual">
      <formula>0</formula>
    </cfRule>
  </conditionalFormatting>
  <conditionalFormatting sqref="C40">
    <cfRule type="expression" dxfId="1" priority="30">
      <formula>AND(ISNUMBER(C40),C40&lt;12)</formula>
    </cfRule>
  </conditionalFormatting>
  <conditionalFormatting sqref="C33:Z33">
    <cfRule type="cellIs" dxfId="0" priority="2" operator="lessThan">
      <formula>0</formula>
    </cfRule>
  </conditionalFormatting>
  <dataValidations count="1">
    <dataValidation type="list" sqref="C4" xr:uid="{00000000-0002-0000-0200-000000000000}">
      <formula1>"Optimistic,Base,Pessimistic"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Assumptions</vt:lpstr>
      <vt:lpstr>2. Unit Economics</vt:lpstr>
      <vt:lpstr>3. P&amp;L &amp; 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Anh. Nguyen Duc  - ST CMCU</cp:lastModifiedBy>
  <cp:revision>0</cp:revision>
  <dcterms:created xsi:type="dcterms:W3CDTF">2026-05-03T22:07:00Z</dcterms:created>
  <dcterms:modified xsi:type="dcterms:W3CDTF">2026-08-26T19:52:36Z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9F7AB3F7979B97FA0967F869EA163140_42</vt:lpwstr>
  </property>
  <property fmtid="{D5CDD505-2E9C-101B-9397-08002B2CF9AE}" pid="3" name="KSOProductBuildVer">
    <vt:lpwstr>1033-12.1.23135.23135</vt:lpwstr>
  </property>
</Properties>
</file>