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360" tabRatio="500"/>
  </bookViews>
  <sheets>
    <sheet name="1. Assumptions" sheetId="1" r:id="rId1"/>
    <sheet name="2. Unit Economics" sheetId="2" r:id="rId2"/>
    <sheet name="3. P&amp;L &amp; RO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<sst xmlns="http://schemas.openxmlformats.org/spreadsheetml/2006/main" count="153" uniqueCount="137">
  <si>
    <t>Tab 1 — ASSUMPTIONS  /  Giả định đầu vào</t>
  </si>
  <si>
    <t>Luật chơi: chỉ điền vào các ô MÀU VÀNG. Các ô khác là công thức và sẽ tự tính.</t>
  </si>
  <si>
    <t>1. Product &amp; Pricing  /  Sản phẩm &amp; Giá</t>
  </si>
  <si>
    <t>Optimistic</t>
  </si>
  <si>
    <t>Base</t>
  </si>
  <si>
    <t>Pessimistic</t>
  </si>
  <si>
    <t>Đơn vị</t>
  </si>
  <si>
    <t>Ghi chú / Note</t>
  </si>
  <si>
    <t>ARPU — Giá bán bình quân/khách/tháng</t>
  </si>
  <si>
    <t>VND</t>
  </si>
  <si>
    <t>Pricing cao hơn → khó bán hơn nhưng margin tốt hơn</t>
  </si>
  <si>
    <t>Adoption rate — % TAM chuyển thành khách/tháng</t>
  </si>
  <si>
    <t>%/tháng</t>
  </si>
  <si>
    <t>% TAM chuyển thành khách trả tiền mới mỗi tháng</t>
  </si>
  <si>
    <t>Total addressable market (số khách tiềm năng)</t>
  </si>
  <si>
    <t>khách</t>
  </si>
  <si>
    <t>Tổng số khách hàng tiềm năng có thể tiếp cận được</t>
  </si>
  <si>
    <t>2. COGS  /  Chi phí biến đổi trên mỗi khách hàng</t>
  </si>
  <si>
    <t>API cost / khách / tháng</t>
  </si>
  <si>
    <t>Tiền gọi OpenAI/Anthropic/Gemini API</t>
  </si>
  <si>
    <t>Hidden costs (labeling, retraining, QA)</t>
  </si>
  <si>
    <t>Đừng quên! Đây là cục giết startup AI</t>
  </si>
  <si>
    <t>Infrastructure (server/cloud) / khách</t>
  </si>
  <si>
    <t>Phần allocate cloud cost cho mỗi khách</t>
  </si>
  <si>
    <t>→ Tổng COGS / khách / tháng</t>
  </si>
  <si>
    <t>3. Customer Behavior  /  Hành vi khách hàng</t>
  </si>
  <si>
    <t>Monthly Churn Rate — % khách rời mỗi tháng</t>
  </si>
  <si>
    <t>%</t>
  </si>
  <si>
    <t>Benchmark AI product &lt; 5%/tháng</t>
  </si>
  <si>
    <t>→ Số tháng ở lại trung bình</t>
  </si>
  <si>
    <t>4. Sales &amp; Marketing  /  Chi phí thu hút khách</t>
  </si>
  <si>
    <t>CAC — Tổng chi phí có 1 khách hàng mới</t>
  </si>
  <si>
    <t>Tổng tiền Marketing &amp; Sales / Số khách mới</t>
  </si>
  <si>
    <t>5. Fixed Costs  /  Chi phí cố định hàng tháng</t>
  </si>
  <si>
    <t>Salaries — Lương team (PM/Dev/Designer)</t>
  </si>
  <si>
    <t>VND/tháng</t>
  </si>
  <si>
    <t>Pessimistic = phải hire thêm nếu khó scale</t>
  </si>
  <si>
    <t>Office, tools, admin</t>
  </si>
  <si>
    <t>Marketing budget hàng tháng</t>
  </si>
  <si>
    <t>→ Tổng Fixed Cost / tháng</t>
  </si>
  <si>
    <t>6. Initial Investment  /  Vốn đầu tư ban đầu</t>
  </si>
  <si>
    <t>Vốn đầu tư ban đầu (build MVP, setup)</t>
  </si>
  <si>
    <t>Chi phí 1 lần — lương team build MVP, infrastructure setup</t>
  </si>
  <si>
    <t>Tiền mặt ban đầu (sau khi đã trừ vốn đầu tư)</t>
  </si>
  <si>
    <t>Số tiền có sẵn để chi trả fixed cost trong giai đoạn đầu</t>
  </si>
  <si>
    <t>7. Discount Rate  /  Tỷ suất chiết khấu (cho NPV)</t>
  </si>
  <si>
    <t>Annual discount rate (WACC)</t>
  </si>
  <si>
    <t>%/năm</t>
  </si>
  <si>
    <t>Mức kỳ vọng tối thiểu của nhà đầu tư cho dự án AI rủi ro</t>
  </si>
  <si>
    <t>→ Monthly discount rate</t>
  </si>
  <si>
    <t>8. Decision Note  /  Ghi chú quyết định</t>
  </si>
  <si>
    <t>Tại sao bạn chọn mức ARPU và CAC như trên? Logic gì để bảo vệ những con số này trước nhà đầu tư? Viết 2-3 câu...</t>
  </si>
  <si>
    <t>Tab 2 — UNIT ECONOMICS  /  Kinh tế đơn vị</t>
  </si>
  <si>
    <t>Tự động tính từ Tab 1. Kiểm tra: LTV/CAC &gt; 3 (Base) và CAC Payback &lt; 12 tháng.</t>
  </si>
  <si>
    <t>Chỉ số</t>
  </si>
  <si>
    <t>Benchmark / Note</t>
  </si>
  <si>
    <t>Trên mỗi khách hàng / per customer</t>
  </si>
  <si>
    <t>ARPU / tháng</t>
  </si>
  <si>
    <t>Liên kết từ Tab Assumptions</t>
  </si>
  <si>
    <t>COGS / tháng</t>
  </si>
  <si>
    <t>→ Gross Profit / tháng</t>
  </si>
  <si>
    <t>→ Gross Margin %</t>
  </si>
  <si>
    <t>AI product target: 40-60%. SaaS truyền thống: 80%+</t>
  </si>
  <si>
    <t>LTV — Customer Lifetime Value</t>
  </si>
  <si>
    <t>Số tháng ở lại trung bình</t>
  </si>
  <si>
    <t>tháng</t>
  </si>
  <si>
    <t>→ LTV = Gross Profit × Số tháng ở lại</t>
  </si>
  <si>
    <t>Tổng lợi nhuận gộp một khách mang lại trong vòng đời</t>
  </si>
  <si>
    <t>CAC — Customer Acquisition Cost</t>
  </si>
  <si>
    <t>CAC — Chi phí thu hút 1 khách</t>
  </si>
  <si>
    <t>Key Ratios  /  Tỷ lệ then chốt</t>
  </si>
  <si>
    <t>→ LTV / CAC Ratio</t>
  </si>
  <si>
    <t>🎯 Target &gt; 3.0x (tiêu chuẩn vàng VC)</t>
  </si>
  <si>
    <t>→ CAC Payback Period</t>
  </si>
  <si>
    <t>🎯 Target &lt; 12 tháng (early-stage)</t>
  </si>
  <si>
    <t>Verdict  /  Kết luận</t>
  </si>
  <si>
    <t>Unit Economics Status</t>
  </si>
  <si>
    <t>Tab 3 — P&amp;L &amp; ROI  /  24 tháng</t>
  </si>
  <si>
    <t>Chọn scenario:</t>
  </si>
  <si>
    <t>Đổi scenario tại đây để toàn bộ P&amp;L tự cập nhật</t>
  </si>
  <si>
    <t>Active scenario index:</t>
  </si>
  <si>
    <t>Selected scenario inputs ↓</t>
  </si>
  <si>
    <t>ARPU / khách / tháng</t>
  </si>
  <si>
    <t>Adoption rate</t>
  </si>
  <si>
    <t>TAM (số khách tiềm năng)</t>
  </si>
  <si>
    <t>Total COGS / khách</t>
  </si>
  <si>
    <t>Monthly Churn Rate</t>
  </si>
  <si>
    <t>CAC / khách mới</t>
  </si>
  <si>
    <t>Fixed Cost / tháng</t>
  </si>
  <si>
    <t>Initial Investment</t>
  </si>
  <si>
    <t>Initial Cash</t>
  </si>
  <si>
    <t>Monthly Discount Rate</t>
  </si>
  <si>
    <t>P&amp;L Projection — 24 months  (VND)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</si>
  <si>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</si>
  <si>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</si>
  <si>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</si>
  <si>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</si>
  <si>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</si>
  <si>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</si>
  <si>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</si>
  <si>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</si>
  <si>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</si>
  <si>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</si>
  <si>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</si>
  <si>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</si>
  <si>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</si>
  <si>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</si>
  <si>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</si>
  <si>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</si>
  <si>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</si>
  <si>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</si>
  <si>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</si>
  <si>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</si>
  <si>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</si>
  <si>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</si>
  <si>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</si>
  <si>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</si>
  <si>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</si>
  <si>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</si>
  <si>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New customers acquired</t>
  </si>
  <si>
    <t>Active customers (end of month)</t>
  </si>
  <si>
    <t>Revenue</t>
  </si>
  <si>
    <t>COGS (variable cost)</t>
  </si>
  <si>
    <t>Gross Profit</t>
  </si>
  <si>
    <t>Marketing/Acquisition cost</t>
  </si>
  <si>
    <t>Fixed cost (salaries + ops)</t>
  </si>
  <si>
    <t>Operating Profit (EBITDA)</t>
  </si>
  <si>
    <t>Cash Flow (after investment)</t>
  </si>
  <si>
    <t>Cash Position (cumulative)</t>
  </si>
  <si>
    <t>ROI Metrics  /  Chỉ số đánh giá tổng thể dự án</t>
  </si>
  <si>
    <t>NPV (Net Present Value, mil VND)</t>
  </si>
  <si>
    <t>IRR (Annual)</t>
  </si>
  <si>
    <t>Project Payback (months)</t>
  </si>
  <si>
    <t>Runway (months until cash = 0)</t>
  </si>
  <si>
    <t>(helper: cumulative cash flow)</t>
  </si>
  <si>
    <t>Final Verdict  /  Có nên làm dự án này?</t>
  </si>
  <si>
    <t>Project Decision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</si>
</sst>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;\(#,##0\);\-"/>
    <numFmt numFmtId="177" formatCode="0.0%;\(0.0%\);\-"/>
    <numFmt numFmtId="178" formatCode="0.0&quot; tháng&quot;"/>
    <numFmt numFmtId="179" formatCode="0.00\x"/>
    <numFmt numFmtId="180" formatCode="0.00%;\(0.00%\);\-"/>
  </numFmts>
  <fonts count="41">
    <font>
      <sz val="11"/>
      <color theme="1"/>
      <name val="Calibri"/>
      <charset val="1"/>
    </font>
    <font>
      <b/>
      <sz val="16"/>
      <color rgb="FFFFFFFF"/>
      <name val="Arial"/>
      <charset val="1"/>
    </font>
    <font>
      <b/>
      <sz val="11"/>
      <color rgb="FF0F3460"/>
      <name val="Arial"/>
      <charset val="1"/>
    </font>
    <font>
      <b/>
      <sz val="11"/>
      <color rgb="FF0000FF"/>
      <name val="Arial"/>
      <charset val="1"/>
    </font>
    <font>
      <i/>
      <sz val="9"/>
      <color rgb="FF64748B"/>
      <name val="Arial"/>
      <charset val="1"/>
    </font>
    <font>
      <b/>
      <i/>
      <sz val="9"/>
      <color rgb="FF0F3460"/>
      <name val="Arial"/>
      <charset val="1"/>
    </font>
    <font>
      <i/>
      <sz val="9"/>
      <color rgb="FF00800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10"/>
      <color rgb="FF000000"/>
      <name val="Arial"/>
      <charset val="1"/>
    </font>
    <font>
      <sz val="9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1"/>
      <name val="Arial"/>
      <charset val="1"/>
    </font>
    <font>
      <i/>
      <sz val="8"/>
      <color rgb="FF94A3B8"/>
      <name val="Arial"/>
      <charset val="1"/>
    </font>
    <font>
      <b/>
      <sz val="12"/>
      <name val="Arial"/>
      <charset val="1"/>
    </font>
    <font>
      <sz val="10"/>
      <color rgb="FF008000"/>
      <name val="Arial"/>
      <charset val="1"/>
    </font>
    <font>
      <b/>
      <sz val="10"/>
      <color rgb="FF0000FF"/>
      <name val="Arial"/>
      <charset val="1"/>
    </font>
    <font>
      <i/>
      <sz val="10"/>
      <color rgb="FF0000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FFF00"/>
        <bgColor rgb="FFFFFF00"/>
      </patternFill>
    </fill>
    <fill>
      <patternFill patternType="solid">
        <fgColor rgb="FF0F3460"/>
        <bgColor rgb="FF1A1A2E"/>
      </patternFill>
    </fill>
    <fill>
      <patternFill patternType="solid">
        <fgColor rgb="FFF1F5F9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0" fillId="0" borderId="0" applyBorder="0" applyAlignment="0" applyProtection="0"/>
    <xf numFmtId="44" fontId="20" fillId="0" borderId="0" applyBorder="0" applyAlignment="0" applyProtection="0"/>
    <xf numFmtId="9" fontId="20" fillId="0" borderId="0" applyBorder="0" applyAlignment="0" applyProtection="0"/>
    <xf numFmtId="41" fontId="20" fillId="0" borderId="0" applyBorder="0" applyAlignment="0" applyProtection="0"/>
    <xf numFmtId="42" fontId="20" fillId="0" borderId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7" applyNumberFormat="0" applyAlignment="0" applyProtection="0">
      <alignment vertical="center"/>
    </xf>
    <xf numFmtId="0" fontId="31" fillId="11" borderId="8" applyNumberFormat="0" applyAlignment="0" applyProtection="0">
      <alignment vertical="center"/>
    </xf>
    <xf numFmtId="0" fontId="32" fillId="11" borderId="7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indent="1"/>
    </xf>
    <xf numFmtId="176" fontId="6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horizontal="right" vertical="center"/>
    </xf>
    <xf numFmtId="0" fontId="7" fillId="4" borderId="0" xfId="0" applyFont="1" applyFill="1" applyBorder="1" applyAlignment="1">
      <alignment horizontal="left" vertical="center" indent="1"/>
    </xf>
    <xf numFmtId="0" fontId="8" fillId="5" borderId="0" xfId="0" applyFont="1" applyFill="1"/>
    <xf numFmtId="0" fontId="9" fillId="5" borderId="0" xfId="0" applyFont="1" applyFill="1" applyAlignment="1">
      <alignment horizontal="center"/>
    </xf>
    <xf numFmtId="0" fontId="10" fillId="0" borderId="0" xfId="0" applyFont="1" applyAlignment="1">
      <alignment horizontal="left" vertical="center" indent="1"/>
    </xf>
    <xf numFmtId="176" fontId="11" fillId="0" borderId="0" xfId="0" applyNumberFormat="1" applyFont="1" applyAlignment="1">
      <alignment horizontal="right"/>
    </xf>
    <xf numFmtId="0" fontId="12" fillId="6" borderId="0" xfId="0" applyFont="1" applyFill="1" applyAlignment="1">
      <alignment horizontal="left" vertical="center"/>
    </xf>
    <xf numFmtId="176" fontId="9" fillId="6" borderId="0" xfId="0" applyNumberFormat="1" applyFont="1" applyFill="1" applyAlignment="1">
      <alignment horizontal="right"/>
    </xf>
    <xf numFmtId="0" fontId="12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right"/>
    </xf>
    <xf numFmtId="0" fontId="12" fillId="5" borderId="0" xfId="0" applyFont="1" applyFill="1" applyAlignment="1">
      <alignment horizontal="left" vertical="center"/>
    </xf>
    <xf numFmtId="176" fontId="9" fillId="5" borderId="0" xfId="0" applyNumberFormat="1" applyFont="1" applyFill="1" applyAlignment="1">
      <alignment horizontal="right"/>
    </xf>
    <xf numFmtId="0" fontId="12" fillId="7" borderId="0" xfId="0" applyFont="1" applyFill="1" applyAlignment="1">
      <alignment horizontal="left" vertical="center"/>
    </xf>
    <xf numFmtId="176" fontId="9" fillId="7" borderId="0" xfId="0" applyNumberFormat="1" applyFont="1" applyFill="1" applyAlignment="1">
      <alignment horizontal="right"/>
    </xf>
    <xf numFmtId="176" fontId="13" fillId="0" borderId="0" xfId="0" applyNumberFormat="1" applyFont="1" applyAlignment="1">
      <alignment horizontal="right"/>
    </xf>
    <xf numFmtId="177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5" fillId="0" borderId="0" xfId="0" applyFont="1"/>
    <xf numFmtId="176" fontId="15" fillId="0" borderId="0" xfId="0" applyNumberFormat="1" applyFont="1" applyAlignment="1">
      <alignment horizontal="right"/>
    </xf>
    <xf numFmtId="0" fontId="16" fillId="0" borderId="0" xfId="0" applyFont="1" applyBorder="1" applyAlignment="1">
      <alignment horizontal="left" vertical="center"/>
    </xf>
    <xf numFmtId="0" fontId="8" fillId="5" borderId="0" xfId="0" applyFont="1" applyFill="1" applyAlignment="1">
      <alignment horizontal="center"/>
    </xf>
    <xf numFmtId="176" fontId="8" fillId="0" borderId="0" xfId="0" applyNumberFormat="1" applyFont="1"/>
    <xf numFmtId="176" fontId="8" fillId="6" borderId="0" xfId="0" applyNumberFormat="1" applyFont="1" applyFill="1"/>
    <xf numFmtId="176" fontId="8" fillId="5" borderId="0" xfId="0" applyNumberFormat="1" applyFont="1" applyFill="1"/>
    <xf numFmtId="0" fontId="12" fillId="6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176" fontId="17" fillId="0" borderId="0" xfId="0" applyNumberFormat="1" applyFont="1" applyAlignment="1">
      <alignment horizontal="right" vertical="center"/>
    </xf>
    <xf numFmtId="176" fontId="12" fillId="5" borderId="0" xfId="0" applyNumberFormat="1" applyFont="1" applyFill="1" applyAlignment="1">
      <alignment horizontal="right" vertical="center"/>
    </xf>
    <xf numFmtId="177" fontId="12" fillId="5" borderId="0" xfId="0" applyNumberFormat="1" applyFont="1" applyFill="1" applyAlignment="1">
      <alignment horizontal="right" vertical="center"/>
    </xf>
    <xf numFmtId="178" fontId="17" fillId="0" borderId="0" xfId="0" applyNumberFormat="1" applyFont="1" applyAlignment="1">
      <alignment horizontal="right" vertical="center"/>
    </xf>
    <xf numFmtId="179" fontId="12" fillId="5" borderId="0" xfId="0" applyNumberFormat="1" applyFont="1" applyFill="1" applyAlignment="1">
      <alignment horizontal="right" vertical="center"/>
    </xf>
    <xf numFmtId="178" fontId="12" fillId="5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0" fillId="5" borderId="0" xfId="0" applyFill="1"/>
    <xf numFmtId="176" fontId="18" fillId="3" borderId="1" xfId="0" applyNumberFormat="1" applyFont="1" applyFill="1" applyBorder="1" applyAlignment="1">
      <alignment horizontal="right" vertical="center"/>
    </xf>
    <xf numFmtId="180" fontId="18" fillId="3" borderId="1" xfId="0" applyNumberFormat="1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left" vertical="center"/>
    </xf>
    <xf numFmtId="176" fontId="12" fillId="5" borderId="2" xfId="0" applyNumberFormat="1" applyFont="1" applyFill="1" applyBorder="1" applyAlignment="1">
      <alignment horizontal="right" vertical="center"/>
    </xf>
    <xf numFmtId="177" fontId="18" fillId="3" borderId="1" xfId="0" applyNumberFormat="1" applyFont="1" applyFill="1" applyBorder="1" applyAlignment="1">
      <alignment horizontal="right" vertical="center"/>
    </xf>
    <xf numFmtId="0" fontId="19" fillId="3" borderId="3" xfId="0" applyFont="1" applyFill="1" applyBorder="1" applyAlignment="1">
      <alignment horizontal="left" vertical="top" wrapText="1" indent="1"/>
    </xf>
    <xf numFmtId="0" fontId="0" fillId="5" borderId="2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name val="Arial"/>
        <scheme val="none"/>
        <charset val="1"/>
        <family val="0"/>
        <b val="1"/>
        <sz val="10"/>
        <color rgb="FFDC2626"/>
      </font>
      <fill>
        <patternFill patternType="solid">
          <bgColor rgb="FFFEE2E2"/>
        </patternFill>
      </fill>
    </dxf>
    <dxf>
      <font>
        <name val="Arial"/>
        <scheme val="none"/>
        <charset val="1"/>
        <family val="0"/>
        <b val="1"/>
        <sz val="10"/>
        <color rgb="FFD97706"/>
      </font>
      <fill>
        <patternFill patternType="solid">
          <bgColor rgb="FFFEF3C7"/>
        </patternFill>
      </fill>
    </dxf>
    <dxf>
      <font>
        <name val="Arial"/>
        <scheme val="none"/>
        <charset val="1"/>
        <family val="0"/>
        <b val="1"/>
        <sz val="10"/>
        <color rgb="FF16A34A"/>
      </font>
      <fill>
        <patternFill patternType="solid">
          <bgColor rgb="FFDCFCE7"/>
        </patternFill>
      </fill>
    </dxf>
    <dxf>
      <font>
        <name val="Arial"/>
        <scheme val="none"/>
        <charset val="1"/>
        <family val="0"/>
        <b val="1"/>
        <sz val="9"/>
        <color rgb="FFDC2626"/>
      </font>
      <fill>
        <patternFill patternType="solid">
          <bgColor rgb="FFFEE2E2"/>
        </patternFill>
      </fill>
    </dxf>
    <dxf>
      <font>
        <name val="Arial"/>
        <scheme val="none"/>
        <charset val="1"/>
        <family val="0"/>
        <b val="1"/>
        <sz val="11"/>
        <color rgb="FF16A34A"/>
      </font>
      <fill>
        <patternFill patternType="solid">
          <bgColor rgb="FFDCFCE7"/>
        </patternFill>
      </fill>
    </dxf>
    <dxf>
      <font>
        <name val="Arial"/>
        <scheme val="none"/>
        <charset val="1"/>
        <family val="0"/>
        <b val="1"/>
        <sz val="11"/>
        <color rgb="FFDC2626"/>
      </font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EF3C7"/>
      <rgbColor rgb="00DCFCE7"/>
      <rgbColor rgb="00660066"/>
      <rgbColor rgb="00FF8080"/>
      <rgbColor rgb="000066CC"/>
      <rgbColor rgb="00CBD5E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1F5F9"/>
      <rgbColor rgb="00CCFFCC"/>
      <rgbColor rgb="00FFFF99"/>
      <rgbColor rgb="0099CCFF"/>
      <rgbColor rgb="00FF99CC"/>
      <rgbColor rgb="00CC99FF"/>
      <rgbColor rgb="00FEE2E2"/>
      <rgbColor rgb="003366FF"/>
      <rgbColor rgb="0033CCCC"/>
      <rgbColor rgb="0099CC00"/>
      <rgbColor rgb="00FFCC00"/>
      <rgbColor rgb="00FF9900"/>
      <rgbColor rgb="00D97706"/>
      <rgbColor rgb="0064748B"/>
      <rgbColor rgb="0094A3B8"/>
      <rgbColor rgb="000F3460"/>
      <rgbColor rgb="0016A34A"/>
      <rgbColor rgb="00003300"/>
      <rgbColor rgb="00333300"/>
      <rgbColor rgb="00993300"/>
      <rgbColor rgb="00993366"/>
      <rgbColor rgb="00333399"/>
      <rgbColor rgb="00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41"/>
  <sheetViews>
    <sheetView tabSelected="1" zoomScale="171" zoomScaleNormal="171" workbookViewId="0">
      <pane ySplit="5" topLeftCell="A6" activePane="bottomLeft" state="frozen"/>
      <selection/>
      <selection pane="bottomLeft" activeCell="C28" sqref="C28"/>
    </sheetView>
  </sheetViews>
  <sheetFormatPr defaultColWidth="8.6796875" defaultRowHeight="16.8" outlineLevelCol="6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ht="30" customHeight="1" spans="2:6">
      <c r="B2" s="1" t="s">
        <v>0</v>
      </c>
      <c r="C2" s="1"/>
      <c r="D2" s="1"/>
      <c r="E2" s="1"/>
      <c r="F2" s="1"/>
    </row>
    <row r="3" ht="19.5" customHeight="1" spans="2:7">
      <c r="B3" s="4" t="s">
        <v>1</v>
      </c>
      <c r="C3" s="4"/>
      <c r="D3" s="4"/>
      <c r="E3" s="4"/>
      <c r="F3" s="4"/>
      <c r="G3" s="4"/>
    </row>
    <row r="5" spans="2:6">
      <c r="B5" s="10" t="s">
        <v>2</v>
      </c>
      <c r="C5" s="10"/>
      <c r="D5" s="10"/>
      <c r="E5" s="10"/>
      <c r="F5" s="10"/>
    </row>
    <row r="6" spans="3:7">
      <c r="C6" s="33" t="s">
        <v>3</v>
      </c>
      <c r="D6" s="34" t="s">
        <v>4</v>
      </c>
      <c r="E6" s="42" t="s">
        <v>5</v>
      </c>
      <c r="F6" s="43" t="s">
        <v>6</v>
      </c>
      <c r="G6" s="17" t="s">
        <v>7</v>
      </c>
    </row>
    <row r="7" spans="2:7">
      <c r="B7" s="13" t="s">
        <v>8</v>
      </c>
      <c r="C7" s="47">
        <v>299000</v>
      </c>
      <c r="D7" s="47">
        <v>159000</v>
      </c>
      <c r="E7" s="47">
        <v>129000</v>
      </c>
      <c r="F7" s="44" t="s">
        <v>9</v>
      </c>
      <c r="G7" s="45" t="s">
        <v>10</v>
      </c>
    </row>
    <row r="8" spans="2:7">
      <c r="B8" s="13" t="s">
        <v>11</v>
      </c>
      <c r="C8" s="48">
        <v>0.001</v>
      </c>
      <c r="D8" s="48">
        <v>0.0275</v>
      </c>
      <c r="E8" s="51">
        <v>0.023</v>
      </c>
      <c r="F8" s="44" t="s">
        <v>12</v>
      </c>
      <c r="G8" s="45" t="s">
        <v>13</v>
      </c>
    </row>
    <row r="9" spans="2:7">
      <c r="B9" s="13" t="s">
        <v>14</v>
      </c>
      <c r="C9" s="47">
        <v>1000000</v>
      </c>
      <c r="D9" s="47">
        <v>10000</v>
      </c>
      <c r="E9" s="47">
        <v>10000</v>
      </c>
      <c r="F9" s="44" t="s">
        <v>15</v>
      </c>
      <c r="G9" s="45" t="s">
        <v>16</v>
      </c>
    </row>
    <row r="11" spans="2:6">
      <c r="B11" s="10" t="s">
        <v>17</v>
      </c>
      <c r="C11" s="10"/>
      <c r="D11" s="10"/>
      <c r="E11" s="10"/>
      <c r="F11" s="10"/>
    </row>
    <row r="12" spans="2:7">
      <c r="B12" s="13" t="s">
        <v>18</v>
      </c>
      <c r="C12" s="47">
        <v>10000</v>
      </c>
      <c r="D12" s="47">
        <v>8800</v>
      </c>
      <c r="E12" s="47">
        <v>8800</v>
      </c>
      <c r="F12" s="44" t="s">
        <v>9</v>
      </c>
      <c r="G12" s="45" t="s">
        <v>19</v>
      </c>
    </row>
    <row r="13" spans="2:7">
      <c r="B13" s="13" t="s">
        <v>20</v>
      </c>
      <c r="C13" s="47">
        <v>50000</v>
      </c>
      <c r="D13" s="47">
        <v>40000</v>
      </c>
      <c r="E13" s="47">
        <v>40000</v>
      </c>
      <c r="F13" s="44" t="s">
        <v>9</v>
      </c>
      <c r="G13" s="45" t="s">
        <v>21</v>
      </c>
    </row>
    <row r="14" ht="17.55" spans="2:7">
      <c r="B14" s="13" t="s">
        <v>22</v>
      </c>
      <c r="C14" s="47">
        <v>8000</v>
      </c>
      <c r="D14" s="47">
        <v>5000</v>
      </c>
      <c r="E14" s="47">
        <v>5000</v>
      </c>
      <c r="F14" s="44" t="s">
        <v>9</v>
      </c>
      <c r="G14" s="45" t="s">
        <v>23</v>
      </c>
    </row>
    <row r="15" spans="2:6">
      <c r="B15" s="49" t="s">
        <v>24</v>
      </c>
      <c r="C15" s="50">
        <f>C12+C13+C14</f>
        <v>68000</v>
      </c>
      <c r="D15" s="50">
        <f>D12+D13+D14</f>
        <v>53800</v>
      </c>
      <c r="E15" s="50">
        <f>E12+E13+E14</f>
        <v>53800</v>
      </c>
      <c r="F15" s="53"/>
    </row>
    <row r="17" spans="2:6">
      <c r="B17" s="10" t="s">
        <v>25</v>
      </c>
      <c r="C17" s="10"/>
      <c r="D17" s="10"/>
      <c r="E17" s="10"/>
      <c r="F17" s="10"/>
    </row>
    <row r="18" spans="2:7">
      <c r="B18" s="13" t="s">
        <v>26</v>
      </c>
      <c r="C18" s="51">
        <v>0.07</v>
      </c>
      <c r="D18" s="51">
        <v>0.1</v>
      </c>
      <c r="E18" s="51">
        <v>0.15</v>
      </c>
      <c r="F18" s="44" t="s">
        <v>27</v>
      </c>
      <c r="G18" s="45" t="s">
        <v>28</v>
      </c>
    </row>
    <row r="19" spans="2:6">
      <c r="B19" s="19" t="s">
        <v>29</v>
      </c>
      <c r="C19" s="40">
        <f>IFERROR(1/C18,0)</f>
        <v>14.2857142857143</v>
      </c>
      <c r="D19" s="40">
        <f>IFERROR(1/D18,0)</f>
        <v>10</v>
      </c>
      <c r="E19" s="40">
        <f>IFERROR(1/E18,0)</f>
        <v>6.66666666666667</v>
      </c>
      <c r="F19" s="46"/>
    </row>
    <row r="21" spans="2:6">
      <c r="B21" s="10" t="s">
        <v>30</v>
      </c>
      <c r="C21" s="10"/>
      <c r="D21" s="10"/>
      <c r="E21" s="10"/>
      <c r="F21" s="10"/>
    </row>
    <row r="22" spans="2:7">
      <c r="B22" s="13" t="s">
        <v>31</v>
      </c>
      <c r="C22" s="47">
        <v>500000</v>
      </c>
      <c r="D22" s="47">
        <v>320000</v>
      </c>
      <c r="E22" s="47">
        <v>320000</v>
      </c>
      <c r="F22" s="44" t="s">
        <v>9</v>
      </c>
      <c r="G22" s="45" t="s">
        <v>32</v>
      </c>
    </row>
    <row r="24" spans="2:6">
      <c r="B24" s="10" t="s">
        <v>33</v>
      </c>
      <c r="C24" s="10"/>
      <c r="D24" s="10"/>
      <c r="E24" s="10"/>
      <c r="F24" s="10"/>
    </row>
    <row r="25" spans="2:7">
      <c r="B25" s="13" t="s">
        <v>34</v>
      </c>
      <c r="C25" s="47">
        <v>200000000</v>
      </c>
      <c r="D25" s="47">
        <v>50000000</v>
      </c>
      <c r="E25" s="47">
        <v>20000000</v>
      </c>
      <c r="F25" s="44" t="s">
        <v>35</v>
      </c>
      <c r="G25" s="45" t="s">
        <v>36</v>
      </c>
    </row>
    <row r="26" spans="2:6">
      <c r="B26" s="13" t="s">
        <v>37</v>
      </c>
      <c r="C26" s="47">
        <v>30000000</v>
      </c>
      <c r="D26" s="47">
        <v>10000000</v>
      </c>
      <c r="E26" s="47">
        <v>10000000</v>
      </c>
      <c r="F26" s="44" t="s">
        <v>35</v>
      </c>
    </row>
    <row r="27" spans="2:6">
      <c r="B27" s="13" t="s">
        <v>38</v>
      </c>
      <c r="C27" s="47">
        <v>50000000</v>
      </c>
      <c r="D27" s="47">
        <v>15000000</v>
      </c>
      <c r="E27" s="47">
        <v>15000000</v>
      </c>
      <c r="F27" s="44" t="s">
        <v>35</v>
      </c>
    </row>
    <row r="28" spans="2:6">
      <c r="B28" s="19" t="s">
        <v>39</v>
      </c>
      <c r="C28" s="36">
        <f>SUM(C25:C27)</f>
        <v>280000000</v>
      </c>
      <c r="D28" s="36">
        <f>SUM(D25:D27)</f>
        <v>75000000</v>
      </c>
      <c r="E28" s="36">
        <f>SUM(E25:E27)</f>
        <v>45000000</v>
      </c>
      <c r="F28" s="46"/>
    </row>
    <row r="30" spans="2:6">
      <c r="B30" s="10" t="s">
        <v>40</v>
      </c>
      <c r="C30" s="10"/>
      <c r="D30" s="10"/>
      <c r="E30" s="10"/>
      <c r="F30" s="10"/>
    </row>
    <row r="31" spans="2:7">
      <c r="B31" s="13" t="s">
        <v>41</v>
      </c>
      <c r="C31" s="47">
        <v>1500000000</v>
      </c>
      <c r="D31" s="47">
        <v>300000000</v>
      </c>
      <c r="E31" s="47">
        <v>500000000</v>
      </c>
      <c r="F31" s="44" t="s">
        <v>9</v>
      </c>
      <c r="G31" s="45" t="s">
        <v>42</v>
      </c>
    </row>
    <row r="32" spans="2:7">
      <c r="B32" s="13" t="s">
        <v>43</v>
      </c>
      <c r="C32" s="47">
        <v>3000000000</v>
      </c>
      <c r="D32" s="47">
        <v>1200000000</v>
      </c>
      <c r="E32" s="47">
        <v>1200000000</v>
      </c>
      <c r="F32" s="44" t="s">
        <v>9</v>
      </c>
      <c r="G32" s="45" t="s">
        <v>44</v>
      </c>
    </row>
    <row r="34" spans="2:6">
      <c r="B34" s="10" t="s">
        <v>45</v>
      </c>
      <c r="C34" s="10"/>
      <c r="D34" s="10"/>
      <c r="E34" s="10"/>
      <c r="F34" s="10"/>
    </row>
    <row r="35" spans="2:7">
      <c r="B35" s="13" t="s">
        <v>46</v>
      </c>
      <c r="C35" s="51">
        <v>0.2</v>
      </c>
      <c r="D35" s="51">
        <v>0.2</v>
      </c>
      <c r="E35" s="51">
        <v>0.2</v>
      </c>
      <c r="F35" s="44" t="s">
        <v>47</v>
      </c>
      <c r="G35" s="45" t="s">
        <v>48</v>
      </c>
    </row>
    <row r="36" spans="2:6">
      <c r="B36" s="19" t="s">
        <v>49</v>
      </c>
      <c r="C36" s="37">
        <f>(1+C35)^(1/12)-1</f>
        <v>0.0153094704997312</v>
      </c>
      <c r="D36" s="37">
        <f>(1+D35)^(1/12)-1</f>
        <v>0.0153094704997312</v>
      </c>
      <c r="E36" s="37">
        <f>(1+E35)^(1/12)-1</f>
        <v>0.0153094704997312</v>
      </c>
      <c r="F36" s="46"/>
    </row>
    <row r="38" spans="2:6">
      <c r="B38" s="10" t="s">
        <v>50</v>
      </c>
      <c r="C38" s="10"/>
      <c r="D38" s="10"/>
      <c r="E38" s="10"/>
      <c r="F38" s="10"/>
    </row>
    <row r="39" ht="24.75" customHeight="1" spans="2:6">
      <c r="B39" s="52" t="s">
        <v>51</v>
      </c>
      <c r="C39" s="52"/>
      <c r="D39" s="52"/>
      <c r="E39" s="52"/>
      <c r="F39" s="52"/>
    </row>
    <row r="40" ht="24.75" customHeight="1" spans="2:6">
      <c r="B40" s="52"/>
      <c r="C40" s="52"/>
      <c r="D40" s="52"/>
      <c r="E40" s="52"/>
      <c r="F40" s="52"/>
    </row>
    <row r="41" ht="24.75" customHeight="1" spans="2:6">
      <c r="B41" s="52"/>
      <c r="C41" s="52"/>
      <c r="D41" s="52"/>
      <c r="E41" s="52"/>
      <c r="F41" s="52"/>
    </row>
  </sheetData>
  <mergeCells count="11">
    <mergeCell ref="B2:F2"/>
    <mergeCell ref="B3:G3"/>
    <mergeCell ref="B5:F5"/>
    <mergeCell ref="B11:F11"/>
    <mergeCell ref="B17:F17"/>
    <mergeCell ref="B21:F21"/>
    <mergeCell ref="B24:F24"/>
    <mergeCell ref="B30:F30"/>
    <mergeCell ref="B34:F34"/>
    <mergeCell ref="B38:F38"/>
    <mergeCell ref="B39:F4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5"/>
  <sheetViews>
    <sheetView zoomScale="147" zoomScaleNormal="147" workbookViewId="0">
      <pane ySplit="5" topLeftCell="A6" activePane="bottomLeft" state="frozen"/>
      <selection/>
      <selection pane="bottomLeft" activeCell="E21" sqref="E21"/>
    </sheetView>
  </sheetViews>
  <sheetFormatPr defaultColWidth="8.6796875" defaultRowHeight="16.8" outlineLevelCol="6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ht="30" customHeight="1" spans="2:6">
      <c r="B2" s="1" t="s">
        <v>52</v>
      </c>
      <c r="C2" s="1"/>
      <c r="D2" s="1"/>
      <c r="E2" s="1"/>
      <c r="F2" s="1"/>
    </row>
    <row r="3" ht="19.5" customHeight="1" spans="2:7">
      <c r="B3" s="4" t="s">
        <v>53</v>
      </c>
      <c r="C3" s="4"/>
      <c r="D3" s="4"/>
      <c r="E3" s="4"/>
      <c r="F3" s="4"/>
      <c r="G3" s="4"/>
    </row>
    <row r="5" spans="2:7">
      <c r="B5" s="17" t="s">
        <v>54</v>
      </c>
      <c r="C5" s="33" t="s">
        <v>3</v>
      </c>
      <c r="D5" s="34" t="s">
        <v>4</v>
      </c>
      <c r="E5" s="42" t="s">
        <v>5</v>
      </c>
      <c r="F5" s="43" t="s">
        <v>6</v>
      </c>
      <c r="G5" s="17" t="s">
        <v>55</v>
      </c>
    </row>
    <row r="7" spans="2:6">
      <c r="B7" s="10" t="s">
        <v>56</v>
      </c>
      <c r="C7" s="10"/>
      <c r="D7" s="10"/>
      <c r="E7" s="10"/>
      <c r="F7" s="10"/>
    </row>
    <row r="8" spans="2:7">
      <c r="B8" s="13" t="s">
        <v>57</v>
      </c>
      <c r="C8" s="35">
        <f>'1. Assumptions'!C7</f>
        <v>299000</v>
      </c>
      <c r="D8" s="35">
        <f>'1. Assumptions'!D7</f>
        <v>159000</v>
      </c>
      <c r="E8" s="35">
        <f>'1. Assumptions'!E7</f>
        <v>129000</v>
      </c>
      <c r="F8" s="44" t="s">
        <v>9</v>
      </c>
      <c r="G8" s="45" t="s">
        <v>58</v>
      </c>
    </row>
    <row r="9" spans="2:6">
      <c r="B9" s="13" t="s">
        <v>59</v>
      </c>
      <c r="C9" s="35">
        <f>'1. Assumptions'!C15</f>
        <v>68000</v>
      </c>
      <c r="D9" s="35">
        <f>'1. Assumptions'!D15</f>
        <v>53800</v>
      </c>
      <c r="E9" s="35">
        <f>'1. Assumptions'!E15</f>
        <v>53800</v>
      </c>
      <c r="F9" s="44" t="s">
        <v>9</v>
      </c>
    </row>
    <row r="10" spans="2:6">
      <c r="B10" s="19" t="s">
        <v>60</v>
      </c>
      <c r="C10" s="36">
        <f>C8-C9</f>
        <v>231000</v>
      </c>
      <c r="D10" s="36">
        <f>D8-D9</f>
        <v>105200</v>
      </c>
      <c r="E10" s="36">
        <f>E8-E9</f>
        <v>75200</v>
      </c>
      <c r="F10" s="46"/>
    </row>
    <row r="11" spans="2:7">
      <c r="B11" s="19" t="s">
        <v>61</v>
      </c>
      <c r="C11" s="37">
        <f>IFERROR(C10/C8,0)</f>
        <v>0.77257525083612</v>
      </c>
      <c r="D11" s="37">
        <f>IFERROR(D10/D8,0)</f>
        <v>0.661635220125786</v>
      </c>
      <c r="E11" s="37">
        <f>IFERROR(E10/E8,0)</f>
        <v>0.582945736434109</v>
      </c>
      <c r="F11" s="46"/>
      <c r="G11" s="45" t="s">
        <v>62</v>
      </c>
    </row>
    <row r="13" spans="2:6">
      <c r="B13" s="10" t="s">
        <v>63</v>
      </c>
      <c r="C13" s="10"/>
      <c r="D13" s="10"/>
      <c r="E13" s="10"/>
      <c r="F13" s="10"/>
    </row>
    <row r="14" spans="2:6">
      <c r="B14" s="13" t="s">
        <v>64</v>
      </c>
      <c r="C14" s="38">
        <f>'1. Assumptions'!C19</f>
        <v>14.2857142857143</v>
      </c>
      <c r="D14" s="38">
        <f>'1. Assumptions'!D19</f>
        <v>10</v>
      </c>
      <c r="E14" s="38">
        <f>'1. Assumptions'!E19</f>
        <v>6.66666666666667</v>
      </c>
      <c r="F14" s="44" t="s">
        <v>65</v>
      </c>
    </row>
    <row r="15" spans="2:7">
      <c r="B15" s="19" t="s">
        <v>66</v>
      </c>
      <c r="C15" s="36">
        <f>C10*C14</f>
        <v>3300000</v>
      </c>
      <c r="D15" s="36">
        <f>D10*D14</f>
        <v>1052000</v>
      </c>
      <c r="E15" s="36">
        <f>E10*E14</f>
        <v>501333.333333333</v>
      </c>
      <c r="F15" s="46"/>
      <c r="G15" s="45" t="s">
        <v>67</v>
      </c>
    </row>
    <row r="17" spans="2:6">
      <c r="B17" s="10" t="s">
        <v>68</v>
      </c>
      <c r="C17" s="10"/>
      <c r="D17" s="10"/>
      <c r="E17" s="10"/>
      <c r="F17" s="10"/>
    </row>
    <row r="18" spans="2:6">
      <c r="B18" s="13" t="s">
        <v>69</v>
      </c>
      <c r="C18" s="35">
        <f>'1. Assumptions'!C22</f>
        <v>500000</v>
      </c>
      <c r="D18" s="35">
        <f>'1. Assumptions'!D22</f>
        <v>320000</v>
      </c>
      <c r="E18" s="35">
        <f>'1. Assumptions'!E22</f>
        <v>320000</v>
      </c>
      <c r="F18" s="44" t="s">
        <v>9</v>
      </c>
    </row>
    <row r="20" spans="2:6">
      <c r="B20" s="10" t="s">
        <v>70</v>
      </c>
      <c r="C20" s="10"/>
      <c r="D20" s="10"/>
      <c r="E20" s="10"/>
      <c r="F20" s="10"/>
    </row>
    <row r="21" spans="2:7">
      <c r="B21" s="19" t="s">
        <v>71</v>
      </c>
      <c r="C21" s="39">
        <f>IFERROR(C15/C18,0)</f>
        <v>6.6</v>
      </c>
      <c r="D21" s="39">
        <f>IFERROR(D15/D18,0)</f>
        <v>3.2875</v>
      </c>
      <c r="E21" s="39">
        <f>IFERROR(E15/E18,0)</f>
        <v>1.56666666666667</v>
      </c>
      <c r="F21" s="46"/>
      <c r="G21" s="45" t="s">
        <v>72</v>
      </c>
    </row>
    <row r="22" spans="2:7">
      <c r="B22" s="19" t="s">
        <v>73</v>
      </c>
      <c r="C22" s="40">
        <f>IFERROR(C18/C10,0)</f>
        <v>2.16450216450216</v>
      </c>
      <c r="D22" s="40">
        <f>IFERROR(D18/D10,0)</f>
        <v>3.04182509505703</v>
      </c>
      <c r="E22" s="40">
        <f>IFERROR(E18/E10,0)</f>
        <v>4.25531914893617</v>
      </c>
      <c r="F22" s="46"/>
      <c r="G22" s="45" t="s">
        <v>74</v>
      </c>
    </row>
    <row r="24" spans="2:6">
      <c r="B24" s="10" t="s">
        <v>75</v>
      </c>
      <c r="C24" s="10"/>
      <c r="D24" s="10"/>
      <c r="E24" s="10"/>
      <c r="F24" s="10"/>
    </row>
    <row r="25" spans="2:5">
      <c r="B25" s="17" t="s">
        <v>76</v>
      </c>
      <c r="C25" s="41" t="str">
        <f>IF(AND(C21&gt;=3,C22&lt;=12),"✓ HEALTHY",IF(OR(C21&lt;1,C22&gt;18),"✗ UNHEALTHY","⚠ WATCH"))</f>
        <v>✓ HEALTHY</v>
      </c>
      <c r="D25" s="41" t="str">
        <f>IF(AND(D21&gt;=3,D22&lt;=12),"✓ HEALTHY",IF(OR(D21&lt;1,D22&gt;18),"✗ UNHEALTHY","⚠ WATCH"))</f>
        <v>✓ HEALTHY</v>
      </c>
      <c r="E25" s="41" t="str">
        <f>IF(AND(E21&gt;=3,E22&lt;=12),"✓ HEALTHY",IF(OR(E21&lt;1,E22&gt;18),"✗ UNHEALTHY","⚠ WATCH"))</f>
        <v>⚠ WATCH</v>
      </c>
    </row>
  </sheetData>
  <mergeCells count="7">
    <mergeCell ref="B2:F2"/>
    <mergeCell ref="B3:G3"/>
    <mergeCell ref="B7:F7"/>
    <mergeCell ref="B13:F13"/>
    <mergeCell ref="B17:F17"/>
    <mergeCell ref="B20:F20"/>
    <mergeCell ref="B24:F24"/>
  </mergeCells>
  <conditionalFormatting sqref="C21">
    <cfRule type="cellIs" dxfId="0" priority="2" operator="lessThan">
      <formula>1</formula>
    </cfRule>
    <cfRule type="cellIs" dxfId="1" priority="3" operator="between">
      <formula>1</formula>
      <formula>3</formula>
    </cfRule>
    <cfRule type="cellIs" dxfId="2" priority="4" operator="greaterThanOrEqual">
      <formula>3</formula>
    </cfRule>
  </conditionalFormatting>
  <conditionalFormatting sqref="D21">
    <cfRule type="cellIs" dxfId="0" priority="5" operator="lessThan">
      <formula>1</formula>
    </cfRule>
    <cfRule type="cellIs" dxfId="1" priority="6" operator="between">
      <formula>1</formula>
      <formula>3</formula>
    </cfRule>
    <cfRule type="cellIs" dxfId="2" priority="7" operator="greaterThanOrEqual">
      <formula>3</formula>
    </cfRule>
  </conditionalFormatting>
  <conditionalFormatting sqref="E21">
    <cfRule type="cellIs" dxfId="0" priority="8" operator="lessThan">
      <formula>1</formula>
    </cfRule>
    <cfRule type="cellIs" dxfId="1" priority="9" operator="between">
      <formula>1</formula>
      <formula>3</formula>
    </cfRule>
    <cfRule type="cellIs" dxfId="2" priority="10" operator="greaterThanOrEqual">
      <formula>3</formula>
    </cfRule>
  </conditionalFormatting>
  <conditionalFormatting sqref="C22">
    <cfRule type="cellIs" dxfId="0" priority="11" operator="greaterThan">
      <formula>18</formula>
    </cfRule>
    <cfRule type="cellIs" dxfId="1" priority="12" operator="between">
      <formula>12</formula>
      <formula>18</formula>
    </cfRule>
    <cfRule type="cellIs" dxfId="2" priority="13" operator="lessThanOrEqual">
      <formula>12</formula>
    </cfRule>
  </conditionalFormatting>
  <conditionalFormatting sqref="D22">
    <cfRule type="cellIs" dxfId="0" priority="14" operator="greaterThan">
      <formula>18</formula>
    </cfRule>
    <cfRule type="cellIs" dxfId="1" priority="15" operator="between">
      <formula>12</formula>
      <formula>18</formula>
    </cfRule>
    <cfRule type="cellIs" dxfId="2" priority="16" operator="lessThanOrEqual">
      <formula>12</formula>
    </cfRule>
  </conditionalFormatting>
  <conditionalFormatting sqref="E22">
    <cfRule type="cellIs" dxfId="0" priority="17" operator="greaterThan">
      <formula>18</formula>
    </cfRule>
    <cfRule type="cellIs" dxfId="1" priority="18" operator="between">
      <formula>12</formula>
      <formula>18</formula>
    </cfRule>
    <cfRule type="cellIs" dxfId="2" priority="19" operator="lessThanOrEqual">
      <formula>12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44"/>
  <sheetViews>
    <sheetView zoomScale="173" zoomScaleNormal="173" workbookViewId="0">
      <pane xSplit="2" ySplit="21" topLeftCell="C26" activePane="bottomRight" state="frozen"/>
      <selection/>
      <selection pane="topRight"/>
      <selection pane="bottomLeft"/>
      <selection pane="bottomRight" activeCell="C40" sqref="C40"/>
    </sheetView>
  </sheetViews>
  <sheetFormatPr defaultColWidth="8.6796875" defaultRowHeight="16.8"/>
  <cols>
    <col min="1" max="1" width="3" customWidth="1"/>
    <col min="2" max="2" width="36" customWidth="1"/>
    <col min="3" max="26" width="13" customWidth="1"/>
    <col min="27" max="27" width="16" customWidth="1"/>
  </cols>
  <sheetData>
    <row r="2" ht="30" hidden="1" customHeight="1" spans="2:8">
      <c r="B2" s="1" t="s">
        <v>77</v>
      </c>
      <c r="C2" s="1"/>
      <c r="D2" s="1"/>
      <c r="E2" s="1"/>
      <c r="F2" s="1"/>
      <c r="G2" s="1"/>
      <c r="H2" s="1"/>
    </row>
    <row r="3" hidden="1"/>
    <row r="4" ht="15" hidden="1" customHeight="1" spans="2:8">
      <c r="B4" s="2" t="s">
        <v>78</v>
      </c>
      <c r="C4" s="3" t="s">
        <v>5</v>
      </c>
      <c r="D4" s="4" t="s">
        <v>79</v>
      </c>
      <c r="E4" s="4"/>
      <c r="F4" s="4"/>
      <c r="G4" s="4"/>
      <c r="H4" s="4"/>
    </row>
    <row r="5" hidden="1"/>
    <row r="6" hidden="1" spans="2:3">
      <c r="B6" s="5" t="s">
        <v>80</v>
      </c>
      <c r="C6" s="5">
        <f>MATCH(C4,{"Optimistic","Base","Pessimistic"},0)</f>
        <v>3</v>
      </c>
    </row>
    <row r="7" hidden="1" spans="2:2">
      <c r="B7" s="6" t="s">
        <v>81</v>
      </c>
    </row>
    <row r="8" hidden="1" spans="2:3">
      <c r="B8" s="7" t="s">
        <v>82</v>
      </c>
      <c r="C8" s="8">
        <f>CHOOSE($C$6,'1. Assumptions'!C7,'1. Assumptions'!D7,'1. Assumptions'!E7)</f>
        <v>129000</v>
      </c>
    </row>
    <row r="9" hidden="1" spans="2:3">
      <c r="B9" s="7" t="s">
        <v>83</v>
      </c>
      <c r="C9" s="9">
        <f>CHOOSE($C$6,'1. Assumptions'!C8,'1. Assumptions'!D8,'1. Assumptions'!E8)</f>
        <v>0.023</v>
      </c>
    </row>
    <row r="10" hidden="1" spans="2:3">
      <c r="B10" s="7" t="s">
        <v>84</v>
      </c>
      <c r="C10" s="8">
        <f>CHOOSE($C$6,'1. Assumptions'!C9,'1. Assumptions'!D9,'1. Assumptions'!E9)</f>
        <v>10000</v>
      </c>
    </row>
    <row r="11" hidden="1" spans="2:3">
      <c r="B11" s="7" t="s">
        <v>85</v>
      </c>
      <c r="C11" s="8">
        <f>CHOOSE($C$6,'1. Assumptions'!C15,'1. Assumptions'!D15,'1. Assumptions'!E15)</f>
        <v>53800</v>
      </c>
    </row>
    <row r="12" hidden="1" spans="2:3">
      <c r="B12" s="7" t="s">
        <v>86</v>
      </c>
      <c r="C12" s="9">
        <f>CHOOSE($C$6,'1. Assumptions'!C18,'1. Assumptions'!D18,'1. Assumptions'!E18)</f>
        <v>0.15</v>
      </c>
    </row>
    <row r="13" hidden="1" spans="2:3">
      <c r="B13" s="7" t="s">
        <v>87</v>
      </c>
      <c r="C13" s="8">
        <f>CHOOSE($C$6,'1. Assumptions'!C22,'1. Assumptions'!D22,'1. Assumptions'!E22)</f>
        <v>320000</v>
      </c>
    </row>
    <row r="14" hidden="1" spans="2:3">
      <c r="B14" s="7" t="s">
        <v>88</v>
      </c>
      <c r="C14" s="8">
        <f>CHOOSE($C$6,'1. Assumptions'!C28,'1. Assumptions'!D28,'1. Assumptions'!E28)</f>
        <v>45000000</v>
      </c>
    </row>
    <row r="15" hidden="1" spans="2:3">
      <c r="B15" s="7" t="s">
        <v>89</v>
      </c>
      <c r="C15" s="8">
        <f>CHOOSE($C$6,'1. Assumptions'!C31,'1. Assumptions'!D31,'1. Assumptions'!E31)</f>
        <v>500000000</v>
      </c>
    </row>
    <row r="16" hidden="1" spans="2:3">
      <c r="B16" s="7" t="s">
        <v>90</v>
      </c>
      <c r="C16" s="8">
        <f>CHOOSE($C$6,'1. Assumptions'!C32,'1. Assumptions'!D32,'1. Assumptions'!E32)</f>
        <v>1200000000</v>
      </c>
    </row>
    <row r="17" hidden="1" spans="2:3">
      <c r="B17" s="7" t="s">
        <v>91</v>
      </c>
      <c r="C17" s="9">
        <f>CHOOSE($C$6,'1. Assumptions'!C36,'1. Assumptions'!D36,'1. Assumptions'!E36)</f>
        <v>0.0153094704997312</v>
      </c>
    </row>
    <row r="20" ht="16" customHeight="1" spans="2:27">
      <c r="B20" s="10" t="s">
        <v>92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2:27">
      <c r="B21" s="11" t="s">
        <v>93</v>
      </c>
      <c r="C21" s="12" t="s">
        <v>94</v>
      </c>
      <c r="D21" s="12" t="s">
        <v>95</v>
      </c>
      <c r="E21" s="12" t="s">
        <v>96</v>
      </c>
      <c r="F21" s="12" t="s">
        <v>97</v>
      </c>
      <c r="G21" s="12" t="s">
        <v>98</v>
      </c>
      <c r="H21" s="12" t="s">
        <v>99</v>
      </c>
      <c r="I21" s="12" t="s">
        <v>100</v>
      </c>
      <c r="J21" s="12" t="s">
        <v>101</v>
      </c>
      <c r="K21" s="12" t="s">
        <v>102</v>
      </c>
      <c r="L21" s="12" t="s">
        <v>103</v>
      </c>
      <c r="M21" s="12" t="s">
        <v>104</v>
      </c>
      <c r="N21" s="12" t="s">
        <v>105</v>
      </c>
      <c r="O21" s="12" t="s">
        <v>106</v>
      </c>
      <c r="P21" s="12" t="s">
        <v>107</v>
      </c>
      <c r="Q21" s="12" t="s">
        <v>108</v>
      </c>
      <c r="R21" s="12" t="s">
        <v>109</v>
      </c>
      <c r="S21" s="12" t="s">
        <v>110</v>
      </c>
      <c r="T21" s="12" t="s">
        <v>111</v>
      </c>
      <c r="U21" s="12" t="s">
        <v>112</v>
      </c>
      <c r="V21" s="12" t="s">
        <v>113</v>
      </c>
      <c r="W21" s="12" t="s">
        <v>114</v>
      </c>
      <c r="X21" s="12" t="s">
        <v>115</v>
      </c>
      <c r="Y21" s="12" t="s">
        <v>116</v>
      </c>
      <c r="Z21" s="12" t="s">
        <v>117</v>
      </c>
      <c r="AA21" s="29" t="s">
        <v>118</v>
      </c>
    </row>
    <row r="22" spans="2:27">
      <c r="B22" s="13" t="s">
        <v>119</v>
      </c>
      <c r="C22" s="14">
        <f>ROUND($C$10*$C$9,0)</f>
        <v>230</v>
      </c>
      <c r="D22" s="14">
        <f>ROUND($C$10*$C$9,0)</f>
        <v>230</v>
      </c>
      <c r="E22" s="14">
        <f>ROUND($C$10*$C$9,0)</f>
        <v>230</v>
      </c>
      <c r="F22" s="14">
        <f>ROUND($C$10*$C$9,0)</f>
        <v>230</v>
      </c>
      <c r="G22" s="14">
        <f>ROUND($C$10*$C$9,0)</f>
        <v>230</v>
      </c>
      <c r="H22" s="14">
        <f>ROUND($C$10*$C$9,0)</f>
        <v>230</v>
      </c>
      <c r="I22" s="14">
        <f>ROUND($C$10*$C$9,0)</f>
        <v>230</v>
      </c>
      <c r="J22" s="14">
        <f>ROUND($C$10*$C$9,0)</f>
        <v>230</v>
      </c>
      <c r="K22" s="14">
        <f>ROUND($C$10*$C$9,0)</f>
        <v>230</v>
      </c>
      <c r="L22" s="14">
        <f>ROUND($C$10*$C$9,0)</f>
        <v>230</v>
      </c>
      <c r="M22" s="14">
        <f>ROUND($C$10*$C$9,0)</f>
        <v>230</v>
      </c>
      <c r="N22" s="14">
        <f>ROUND($C$10*$C$9,0)</f>
        <v>230</v>
      </c>
      <c r="O22" s="14">
        <f>ROUND($C$10*$C$9,0)</f>
        <v>230</v>
      </c>
      <c r="P22" s="14">
        <f>ROUND($C$10*$C$9,0)</f>
        <v>230</v>
      </c>
      <c r="Q22" s="14">
        <f>ROUND($C$10*$C$9,0)</f>
        <v>230</v>
      </c>
      <c r="R22" s="14">
        <f>ROUND($C$10*$C$9,0)</f>
        <v>230</v>
      </c>
      <c r="S22" s="14">
        <f>ROUND($C$10*$C$9,0)</f>
        <v>230</v>
      </c>
      <c r="T22" s="14">
        <f>ROUND($C$10*$C$9,0)</f>
        <v>230</v>
      </c>
      <c r="U22" s="14">
        <f>ROUND($C$10*$C$9,0)</f>
        <v>230</v>
      </c>
      <c r="V22" s="14">
        <f>ROUND($C$10*$C$9,0)</f>
        <v>230</v>
      </c>
      <c r="W22" s="14">
        <f>ROUND($C$10*$C$9,0)</f>
        <v>230</v>
      </c>
      <c r="X22" s="14">
        <f>ROUND($C$10*$C$9,0)</f>
        <v>230</v>
      </c>
      <c r="Y22" s="14">
        <f>ROUND($C$10*$C$9,0)</f>
        <v>230</v>
      </c>
      <c r="Z22" s="14">
        <f>ROUND($C$10*$C$9,0)</f>
        <v>230</v>
      </c>
      <c r="AA22" s="30">
        <f>SUM(C22:Z22)</f>
        <v>5520</v>
      </c>
    </row>
    <row r="23" spans="2:26">
      <c r="B23" s="13" t="s">
        <v>120</v>
      </c>
      <c r="C23" s="14">
        <f>C22</f>
        <v>230</v>
      </c>
      <c r="D23" s="14">
        <f>C23*(1-$C$12)+D22</f>
        <v>425.5</v>
      </c>
      <c r="E23" s="14">
        <f>D23*(1-$C$12)+E22</f>
        <v>591.675</v>
      </c>
      <c r="F23" s="14">
        <f>E23*(1-$C$12)+F22</f>
        <v>732.92375</v>
      </c>
      <c r="G23" s="14">
        <f>F23*(1-$C$12)+G22</f>
        <v>852.9851875</v>
      </c>
      <c r="H23" s="14">
        <f>G23*(1-$C$12)+H22</f>
        <v>955.037409375</v>
      </c>
      <c r="I23" s="14">
        <f>H23*(1-$C$12)+I22</f>
        <v>1041.78179796875</v>
      </c>
      <c r="J23" s="14">
        <f>I23*(1-$C$12)+J22</f>
        <v>1115.51452827344</v>
      </c>
      <c r="K23" s="14">
        <f>J23*(1-$C$12)+K22</f>
        <v>1178.18734903242</v>
      </c>
      <c r="L23" s="14">
        <f>K23*(1-$C$12)+L22</f>
        <v>1231.45924667756</v>
      </c>
      <c r="M23" s="14">
        <f>L23*(1-$C$12)+M22</f>
        <v>1276.74035967592</v>
      </c>
      <c r="N23" s="14">
        <f>M23*(1-$C$12)+N22</f>
        <v>1315.22930572454</v>
      </c>
      <c r="O23" s="14">
        <f>N23*(1-$C$12)+O22</f>
        <v>1347.94490986586</v>
      </c>
      <c r="P23" s="14">
        <f>O23*(1-$C$12)+P22</f>
        <v>1375.75317338598</v>
      </c>
      <c r="Q23" s="14">
        <f>P23*(1-$C$12)+Q22</f>
        <v>1399.39019737808</v>
      </c>
      <c r="R23" s="14">
        <f>Q23*(1-$C$12)+R22</f>
        <v>1419.48166777137</v>
      </c>
      <c r="S23" s="14">
        <f>R23*(1-$C$12)+S22</f>
        <v>1436.55941760566</v>
      </c>
      <c r="T23" s="14">
        <f>S23*(1-$C$12)+T22</f>
        <v>1451.07550496481</v>
      </c>
      <c r="U23" s="14">
        <f>T23*(1-$C$12)+U22</f>
        <v>1463.41417922009</v>
      </c>
      <c r="V23" s="14">
        <f>U23*(1-$C$12)+V22</f>
        <v>1473.90205233708</v>
      </c>
      <c r="W23" s="14">
        <f>V23*(1-$C$12)+W22</f>
        <v>1482.81674448652</v>
      </c>
      <c r="X23" s="14">
        <f>W23*(1-$C$12)+X22</f>
        <v>1490.39423281354</v>
      </c>
      <c r="Y23" s="14">
        <f>X23*(1-$C$12)+Y22</f>
        <v>1496.83509789151</v>
      </c>
      <c r="Z23" s="14">
        <f>Y23*(1-$C$12)+Z22</f>
        <v>1502.30983320778</v>
      </c>
    </row>
    <row r="25" spans="2:27">
      <c r="B25" s="15" t="s">
        <v>121</v>
      </c>
      <c r="C25" s="16">
        <f>C23*$C$8</f>
        <v>29670000</v>
      </c>
      <c r="D25" s="16">
        <f>D23*$C$8</f>
        <v>54889500</v>
      </c>
      <c r="E25" s="16">
        <f>E23*$C$8</f>
        <v>76326075</v>
      </c>
      <c r="F25" s="16">
        <f>F23*$C$8</f>
        <v>94547163.75</v>
      </c>
      <c r="G25" s="16">
        <f>G23*$C$8</f>
        <v>110035089.1875</v>
      </c>
      <c r="H25" s="16">
        <f>H23*$C$8</f>
        <v>123199825.809375</v>
      </c>
      <c r="I25" s="16">
        <f>I23*$C$8</f>
        <v>134389851.937969</v>
      </c>
      <c r="J25" s="16">
        <f>J23*$C$8</f>
        <v>143901374.147273</v>
      </c>
      <c r="K25" s="16">
        <f>K23*$C$8</f>
        <v>151986168.025182</v>
      </c>
      <c r="L25" s="16">
        <f>L23*$C$8</f>
        <v>158858242.821405</v>
      </c>
      <c r="M25" s="16">
        <f>M23*$C$8</f>
        <v>164699506.398194</v>
      </c>
      <c r="N25" s="16">
        <f>N23*$C$8</f>
        <v>169664580.438465</v>
      </c>
      <c r="O25" s="16">
        <f>O23*$C$8</f>
        <v>173884893.372695</v>
      </c>
      <c r="P25" s="16">
        <f>P23*$C$8</f>
        <v>177472159.366791</v>
      </c>
      <c r="Q25" s="16">
        <f>Q23*$C$8</f>
        <v>180521335.461772</v>
      </c>
      <c r="R25" s="16">
        <f>R23*$C$8</f>
        <v>183113135.142507</v>
      </c>
      <c r="S25" s="16">
        <f>S23*$C$8</f>
        <v>185316164.871131</v>
      </c>
      <c r="T25" s="16">
        <f>T23*$C$8</f>
        <v>187188740.140461</v>
      </c>
      <c r="U25" s="16">
        <f>U23*$C$8</f>
        <v>188780429.119392</v>
      </c>
      <c r="V25" s="16">
        <f>V23*$C$8</f>
        <v>190133364.751483</v>
      </c>
      <c r="W25" s="16">
        <f>W23*$C$8</f>
        <v>191283360.038761</v>
      </c>
      <c r="X25" s="16">
        <f>X23*$C$8</f>
        <v>192260856.032947</v>
      </c>
      <c r="Y25" s="16">
        <f>Y23*$C$8</f>
        <v>193091727.628005</v>
      </c>
      <c r="Z25" s="16">
        <f>Z23*$C$8</f>
        <v>193797968.483804</v>
      </c>
      <c r="AA25" s="31">
        <f t="shared" ref="AA25:AA30" si="0">SUM(C25:Z25)</f>
        <v>3649011511.92511</v>
      </c>
    </row>
    <row r="26" spans="2:27">
      <c r="B26" s="13" t="s">
        <v>122</v>
      </c>
      <c r="C26" s="14">
        <f>C23*$C$11</f>
        <v>12374000</v>
      </c>
      <c r="D26" s="14">
        <f>D23*$C$11</f>
        <v>22891900</v>
      </c>
      <c r="E26" s="14">
        <f>E23*$C$11</f>
        <v>31832115</v>
      </c>
      <c r="F26" s="14">
        <f>F23*$C$11</f>
        <v>39431297.75</v>
      </c>
      <c r="G26" s="14">
        <f>G23*$C$11</f>
        <v>45890603.0875</v>
      </c>
      <c r="H26" s="14">
        <f>H23*$C$11</f>
        <v>51381012.624375</v>
      </c>
      <c r="I26" s="14">
        <f>I23*$C$11</f>
        <v>56047860.7307187</v>
      </c>
      <c r="J26" s="14">
        <f>J23*$C$11</f>
        <v>60014681.6211109</v>
      </c>
      <c r="K26" s="14">
        <f>K23*$C$11</f>
        <v>63386479.3779443</v>
      </c>
      <c r="L26" s="14">
        <f>L23*$C$11</f>
        <v>66252507.4712527</v>
      </c>
      <c r="M26" s="14">
        <f>M23*$C$11</f>
        <v>68688631.3505647</v>
      </c>
      <c r="N26" s="14">
        <f>N23*$C$11</f>
        <v>70759336.64798</v>
      </c>
      <c r="O26" s="14">
        <f>O23*$C$11</f>
        <v>72519436.150783</v>
      </c>
      <c r="P26" s="14">
        <f>P23*$C$11</f>
        <v>74015520.7281656</v>
      </c>
      <c r="Q26" s="14">
        <f>Q23*$C$11</f>
        <v>75287192.6189407</v>
      </c>
      <c r="R26" s="14">
        <f>R23*$C$11</f>
        <v>76368113.7260996</v>
      </c>
      <c r="S26" s="14">
        <f>S23*$C$11</f>
        <v>77286896.6671847</v>
      </c>
      <c r="T26" s="14">
        <f>T23*$C$11</f>
        <v>78067862.167107</v>
      </c>
      <c r="U26" s="14">
        <f>U23*$C$11</f>
        <v>78731682.8420409</v>
      </c>
      <c r="V26" s="14">
        <f>V23*$C$11</f>
        <v>79295930.4157348</v>
      </c>
      <c r="W26" s="14">
        <f>W23*$C$11</f>
        <v>79775540.8533746</v>
      </c>
      <c r="X26" s="14">
        <f>X23*$C$11</f>
        <v>80183209.7253684</v>
      </c>
      <c r="Y26" s="14">
        <f>Y23*$C$11</f>
        <v>80529728.2665631</v>
      </c>
      <c r="Z26" s="14">
        <f>Z23*$C$11</f>
        <v>80824269.0265787</v>
      </c>
      <c r="AA26" s="30">
        <f t="shared" si="0"/>
        <v>1521835808.84939</v>
      </c>
    </row>
    <row r="27" spans="2:27">
      <c r="B27" s="17" t="s">
        <v>123</v>
      </c>
      <c r="C27" s="18">
        <f t="shared" ref="C27:Z27" si="1">C25-C26</f>
        <v>17296000</v>
      </c>
      <c r="D27" s="18">
        <f t="shared" si="1"/>
        <v>31997600</v>
      </c>
      <c r="E27" s="18">
        <f t="shared" si="1"/>
        <v>44493960</v>
      </c>
      <c r="F27" s="18">
        <f t="shared" si="1"/>
        <v>55115866</v>
      </c>
      <c r="G27" s="18">
        <f t="shared" si="1"/>
        <v>64144486.1</v>
      </c>
      <c r="H27" s="18">
        <f t="shared" si="1"/>
        <v>71818813.185</v>
      </c>
      <c r="I27" s="18">
        <f t="shared" si="1"/>
        <v>78341991.20725</v>
      </c>
      <c r="J27" s="18">
        <f t="shared" si="1"/>
        <v>83886692.5261625</v>
      </c>
      <c r="K27" s="18">
        <f t="shared" si="1"/>
        <v>88599688.6472381</v>
      </c>
      <c r="L27" s="18">
        <f t="shared" si="1"/>
        <v>92605735.3501524</v>
      </c>
      <c r="M27" s="18">
        <f t="shared" si="1"/>
        <v>96010875.0476295</v>
      </c>
      <c r="N27" s="18">
        <f t="shared" si="1"/>
        <v>98905243.7904851</v>
      </c>
      <c r="O27" s="18">
        <f t="shared" si="1"/>
        <v>101365457.221912</v>
      </c>
      <c r="P27" s="18">
        <f t="shared" si="1"/>
        <v>103456638.638625</v>
      </c>
      <c r="Q27" s="18">
        <f t="shared" si="1"/>
        <v>105234142.842832</v>
      </c>
      <c r="R27" s="18">
        <f t="shared" si="1"/>
        <v>106745021.416407</v>
      </c>
      <c r="S27" s="18">
        <f t="shared" si="1"/>
        <v>108029268.203946</v>
      </c>
      <c r="T27" s="18">
        <f t="shared" si="1"/>
        <v>109120877.973354</v>
      </c>
      <c r="U27" s="18">
        <f t="shared" si="1"/>
        <v>110048746.277351</v>
      </c>
      <c r="V27" s="18">
        <f t="shared" si="1"/>
        <v>110837434.335748</v>
      </c>
      <c r="W27" s="18">
        <f t="shared" si="1"/>
        <v>111507819.185386</v>
      </c>
      <c r="X27" s="18">
        <f t="shared" si="1"/>
        <v>112077646.307578</v>
      </c>
      <c r="Y27" s="18">
        <f t="shared" si="1"/>
        <v>112561999.361441</v>
      </c>
      <c r="Z27" s="18">
        <f t="shared" si="1"/>
        <v>112973699.457225</v>
      </c>
      <c r="AA27" s="30">
        <f t="shared" si="0"/>
        <v>2127175703.07572</v>
      </c>
    </row>
    <row r="28" spans="2:27">
      <c r="B28" s="13" t="s">
        <v>124</v>
      </c>
      <c r="C28" s="14">
        <f>C22*$C$13</f>
        <v>73600000</v>
      </c>
      <c r="D28" s="14">
        <f>D22*$C$13</f>
        <v>73600000</v>
      </c>
      <c r="E28" s="14">
        <f>E22*$C$13</f>
        <v>73600000</v>
      </c>
      <c r="F28" s="14">
        <f>F22*$C$13</f>
        <v>73600000</v>
      </c>
      <c r="G28" s="14">
        <f>G22*$C$13</f>
        <v>73600000</v>
      </c>
      <c r="H28" s="14">
        <f>H22*$C$13</f>
        <v>73600000</v>
      </c>
      <c r="I28" s="14">
        <f>I22*$C$13</f>
        <v>73600000</v>
      </c>
      <c r="J28" s="14">
        <f>J22*$C$13</f>
        <v>73600000</v>
      </c>
      <c r="K28" s="14">
        <f>K22*$C$13</f>
        <v>73600000</v>
      </c>
      <c r="L28" s="14">
        <f>L22*$C$13</f>
        <v>73600000</v>
      </c>
      <c r="M28" s="14">
        <f>M22*$C$13</f>
        <v>73600000</v>
      </c>
      <c r="N28" s="14">
        <f>N22*$C$13</f>
        <v>73600000</v>
      </c>
      <c r="O28" s="14">
        <f>O22*$C$13</f>
        <v>73600000</v>
      </c>
      <c r="P28" s="14">
        <f>P22*$C$13</f>
        <v>73600000</v>
      </c>
      <c r="Q28" s="14">
        <f>Q22*$C$13</f>
        <v>73600000</v>
      </c>
      <c r="R28" s="14">
        <f>R22*$C$13</f>
        <v>73600000</v>
      </c>
      <c r="S28" s="14">
        <f>S22*$C$13</f>
        <v>73600000</v>
      </c>
      <c r="T28" s="14">
        <f>T22*$C$13</f>
        <v>73600000</v>
      </c>
      <c r="U28" s="14">
        <f>U22*$C$13</f>
        <v>73600000</v>
      </c>
      <c r="V28" s="14">
        <f>V22*$C$13</f>
        <v>73600000</v>
      </c>
      <c r="W28" s="14">
        <f>W22*$C$13</f>
        <v>73600000</v>
      </c>
      <c r="X28" s="14">
        <f>X22*$C$13</f>
        <v>73600000</v>
      </c>
      <c r="Y28" s="14">
        <f>Y22*$C$13</f>
        <v>73600000</v>
      </c>
      <c r="Z28" s="14">
        <f>Z22*$C$13</f>
        <v>73600000</v>
      </c>
      <c r="AA28" s="30">
        <f t="shared" si="0"/>
        <v>1766400000</v>
      </c>
    </row>
    <row r="29" spans="2:27">
      <c r="B29" s="13" t="s">
        <v>125</v>
      </c>
      <c r="C29" s="14">
        <f>$C$14</f>
        <v>45000000</v>
      </c>
      <c r="D29" s="14">
        <f>$C$14</f>
        <v>45000000</v>
      </c>
      <c r="E29" s="14">
        <f>$C$14</f>
        <v>45000000</v>
      </c>
      <c r="F29" s="14">
        <f>$C$14</f>
        <v>45000000</v>
      </c>
      <c r="G29" s="14">
        <f>$C$14</f>
        <v>45000000</v>
      </c>
      <c r="H29" s="14">
        <f>$C$14</f>
        <v>45000000</v>
      </c>
      <c r="I29" s="14">
        <f>$C$14</f>
        <v>45000000</v>
      </c>
      <c r="J29" s="14">
        <f>$C$14</f>
        <v>45000000</v>
      </c>
      <c r="K29" s="14">
        <f>$C$14</f>
        <v>45000000</v>
      </c>
      <c r="L29" s="14">
        <f>$C$14</f>
        <v>45000000</v>
      </c>
      <c r="M29" s="14">
        <f>$C$14</f>
        <v>45000000</v>
      </c>
      <c r="N29" s="14">
        <f>$C$14</f>
        <v>45000000</v>
      </c>
      <c r="O29" s="14">
        <f>$C$14</f>
        <v>45000000</v>
      </c>
      <c r="P29" s="14">
        <f>$C$14</f>
        <v>45000000</v>
      </c>
      <c r="Q29" s="14">
        <f>$C$14</f>
        <v>45000000</v>
      </c>
      <c r="R29" s="14">
        <f>$C$14</f>
        <v>45000000</v>
      </c>
      <c r="S29" s="14">
        <f>$C$14</f>
        <v>45000000</v>
      </c>
      <c r="T29" s="14">
        <f>$C$14</f>
        <v>45000000</v>
      </c>
      <c r="U29" s="14">
        <f>$C$14</f>
        <v>45000000</v>
      </c>
      <c r="V29" s="14">
        <f>$C$14</f>
        <v>45000000</v>
      </c>
      <c r="W29" s="14">
        <f>$C$14</f>
        <v>45000000</v>
      </c>
      <c r="X29" s="14">
        <f>$C$14</f>
        <v>45000000</v>
      </c>
      <c r="Y29" s="14">
        <f>$C$14</f>
        <v>45000000</v>
      </c>
      <c r="Z29" s="14">
        <f>$C$14</f>
        <v>45000000</v>
      </c>
      <c r="AA29" s="30">
        <f t="shared" si="0"/>
        <v>1080000000</v>
      </c>
    </row>
    <row r="30" spans="2:27">
      <c r="B30" s="19" t="s">
        <v>126</v>
      </c>
      <c r="C30" s="20">
        <f t="shared" ref="C30:Z30" si="2">C27-C28-C29</f>
        <v>-101304000</v>
      </c>
      <c r="D30" s="20">
        <f t="shared" si="2"/>
        <v>-86602400</v>
      </c>
      <c r="E30" s="20">
        <f t="shared" si="2"/>
        <v>-74106040</v>
      </c>
      <c r="F30" s="20">
        <f t="shared" si="2"/>
        <v>-63484134</v>
      </c>
      <c r="G30" s="20">
        <f t="shared" si="2"/>
        <v>-54455513.9</v>
      </c>
      <c r="H30" s="20">
        <f t="shared" si="2"/>
        <v>-46781186.815</v>
      </c>
      <c r="I30" s="20">
        <f t="shared" si="2"/>
        <v>-40258008.79275</v>
      </c>
      <c r="J30" s="20">
        <f t="shared" si="2"/>
        <v>-34713307.4738375</v>
      </c>
      <c r="K30" s="20">
        <f t="shared" si="2"/>
        <v>-30000311.3527619</v>
      </c>
      <c r="L30" s="20">
        <f t="shared" si="2"/>
        <v>-25994264.6498476</v>
      </c>
      <c r="M30" s="20">
        <f t="shared" si="2"/>
        <v>-22589124.9523705</v>
      </c>
      <c r="N30" s="20">
        <f t="shared" si="2"/>
        <v>-19694756.2095149</v>
      </c>
      <c r="O30" s="20">
        <f t="shared" si="2"/>
        <v>-17234542.7780876</v>
      </c>
      <c r="P30" s="20">
        <f t="shared" si="2"/>
        <v>-15143361.3613745</v>
      </c>
      <c r="Q30" s="20">
        <f t="shared" si="2"/>
        <v>-13365857.1571683</v>
      </c>
      <c r="R30" s="20">
        <f t="shared" si="2"/>
        <v>-11854978.5835931</v>
      </c>
      <c r="S30" s="20">
        <f t="shared" si="2"/>
        <v>-10570731.7960541</v>
      </c>
      <c r="T30" s="20">
        <f t="shared" si="2"/>
        <v>-9479122.02664599</v>
      </c>
      <c r="U30" s="20">
        <f t="shared" si="2"/>
        <v>-8551253.72264908</v>
      </c>
      <c r="V30" s="20">
        <f t="shared" si="2"/>
        <v>-7762565.66425173</v>
      </c>
      <c r="W30" s="20">
        <f t="shared" si="2"/>
        <v>-7092180.81461395</v>
      </c>
      <c r="X30" s="20">
        <f t="shared" si="2"/>
        <v>-6522353.69242187</v>
      </c>
      <c r="Y30" s="20">
        <f t="shared" si="2"/>
        <v>-6038000.6385586</v>
      </c>
      <c r="Z30" s="20">
        <f t="shared" si="2"/>
        <v>-5626300.54277478</v>
      </c>
      <c r="AA30" s="32">
        <f t="shared" si="0"/>
        <v>-719224296.924276</v>
      </c>
    </row>
    <row r="32" spans="2:27">
      <c r="B32" s="13" t="s">
        <v>127</v>
      </c>
      <c r="C32" s="14">
        <f>C30-$C$15</f>
        <v>-601304000</v>
      </c>
      <c r="D32" s="14">
        <f t="shared" ref="D32:Z32" si="3">D30</f>
        <v>-86602400</v>
      </c>
      <c r="E32" s="14">
        <f t="shared" si="3"/>
        <v>-74106040</v>
      </c>
      <c r="F32" s="14">
        <f t="shared" si="3"/>
        <v>-63484134</v>
      </c>
      <c r="G32" s="14">
        <f t="shared" si="3"/>
        <v>-54455513.9</v>
      </c>
      <c r="H32" s="14">
        <f t="shared" si="3"/>
        <v>-46781186.815</v>
      </c>
      <c r="I32" s="14">
        <f t="shared" si="3"/>
        <v>-40258008.79275</v>
      </c>
      <c r="J32" s="14">
        <f t="shared" si="3"/>
        <v>-34713307.4738375</v>
      </c>
      <c r="K32" s="14">
        <f t="shared" si="3"/>
        <v>-30000311.3527619</v>
      </c>
      <c r="L32" s="14">
        <f t="shared" si="3"/>
        <v>-25994264.6498476</v>
      </c>
      <c r="M32" s="14">
        <f t="shared" si="3"/>
        <v>-22589124.9523705</v>
      </c>
      <c r="N32" s="14">
        <f t="shared" si="3"/>
        <v>-19694756.2095149</v>
      </c>
      <c r="O32" s="14">
        <f t="shared" si="3"/>
        <v>-17234542.7780876</v>
      </c>
      <c r="P32" s="14">
        <f t="shared" si="3"/>
        <v>-15143361.3613745</v>
      </c>
      <c r="Q32" s="14">
        <f t="shared" si="3"/>
        <v>-13365857.1571683</v>
      </c>
      <c r="R32" s="14">
        <f t="shared" si="3"/>
        <v>-11854978.5835931</v>
      </c>
      <c r="S32" s="14">
        <f t="shared" si="3"/>
        <v>-10570731.7960541</v>
      </c>
      <c r="T32" s="14">
        <f t="shared" si="3"/>
        <v>-9479122.02664599</v>
      </c>
      <c r="U32" s="14">
        <f t="shared" si="3"/>
        <v>-8551253.72264908</v>
      </c>
      <c r="V32" s="14">
        <f t="shared" si="3"/>
        <v>-7762565.66425173</v>
      </c>
      <c r="W32" s="14">
        <f t="shared" si="3"/>
        <v>-7092180.81461395</v>
      </c>
      <c r="X32" s="14">
        <f t="shared" si="3"/>
        <v>-6522353.69242187</v>
      </c>
      <c r="Y32" s="14">
        <f t="shared" si="3"/>
        <v>-6038000.6385586</v>
      </c>
      <c r="Z32" s="14">
        <f t="shared" si="3"/>
        <v>-5626300.54277478</v>
      </c>
      <c r="AA32" s="30">
        <f>SUM(C32:Z32)</f>
        <v>-1219224296.92428</v>
      </c>
    </row>
    <row r="33" spans="2:26">
      <c r="B33" s="21" t="s">
        <v>128</v>
      </c>
      <c r="C33" s="22">
        <f>$C$16+C32</f>
        <v>598696000</v>
      </c>
      <c r="D33" s="22">
        <f t="shared" ref="D33:Z33" si="4">C33+D32</f>
        <v>512093600</v>
      </c>
      <c r="E33" s="22">
        <f t="shared" si="4"/>
        <v>437987560</v>
      </c>
      <c r="F33" s="22">
        <f t="shared" si="4"/>
        <v>374503426</v>
      </c>
      <c r="G33" s="22">
        <f t="shared" si="4"/>
        <v>320047912.1</v>
      </c>
      <c r="H33" s="22">
        <f t="shared" si="4"/>
        <v>273266725.285</v>
      </c>
      <c r="I33" s="22">
        <f t="shared" si="4"/>
        <v>233008716.49225</v>
      </c>
      <c r="J33" s="22">
        <f t="shared" si="4"/>
        <v>198295409.018412</v>
      </c>
      <c r="K33" s="22">
        <f t="shared" si="4"/>
        <v>168295097.665651</v>
      </c>
      <c r="L33" s="22">
        <f t="shared" si="4"/>
        <v>142300833.015803</v>
      </c>
      <c r="M33" s="22">
        <f t="shared" si="4"/>
        <v>119711708.063433</v>
      </c>
      <c r="N33" s="22">
        <f t="shared" si="4"/>
        <v>100016951.853918</v>
      </c>
      <c r="O33" s="22">
        <f t="shared" si="4"/>
        <v>82782409.07583</v>
      </c>
      <c r="P33" s="22">
        <f t="shared" si="4"/>
        <v>67639047.7144555</v>
      </c>
      <c r="Q33" s="22">
        <f t="shared" si="4"/>
        <v>54273190.5572872</v>
      </c>
      <c r="R33" s="22">
        <f t="shared" si="4"/>
        <v>42418211.9736941</v>
      </c>
      <c r="S33" s="22">
        <f t="shared" si="4"/>
        <v>31847480.17764</v>
      </c>
      <c r="T33" s="22">
        <f t="shared" si="4"/>
        <v>22368358.150994</v>
      </c>
      <c r="U33" s="22">
        <f t="shared" si="4"/>
        <v>13817104.4283449</v>
      </c>
      <c r="V33" s="22">
        <f t="shared" si="4"/>
        <v>6054538.76409318</v>
      </c>
      <c r="W33" s="22">
        <f t="shared" si="4"/>
        <v>-1037642.05052078</v>
      </c>
      <c r="X33" s="22">
        <f t="shared" si="4"/>
        <v>-7559995.74294265</v>
      </c>
      <c r="Y33" s="22">
        <f t="shared" si="4"/>
        <v>-13597996.3815012</v>
      </c>
      <c r="Z33" s="22">
        <f t="shared" si="4"/>
        <v>-19224296.924276</v>
      </c>
    </row>
    <row r="36" spans="2:10">
      <c r="B36" s="10" t="s">
        <v>129</v>
      </c>
      <c r="C36" s="10"/>
      <c r="D36" s="10"/>
      <c r="E36" s="10"/>
      <c r="F36" s="10"/>
      <c r="G36" s="10"/>
      <c r="H36" s="10"/>
      <c r="I36" s="10"/>
      <c r="J36" s="10"/>
    </row>
    <row r="37" spans="2:4">
      <c r="B37" s="17" t="s">
        <v>130</v>
      </c>
      <c r="C37" s="23">
        <f>(NPV($C$17,D32:Z32)+C32)/1000000</f>
        <v>-1160.24753471236</v>
      </c>
      <c r="D37" s="5" t="str">
        <f>"(target: &gt; 0)"</f>
        <v>(target: &gt; 0)</v>
      </c>
    </row>
    <row r="38" spans="2:4">
      <c r="B38" s="17" t="s">
        <v>131</v>
      </c>
      <c r="C38" s="24">
        <f>IFERROR((1+IRR(C32:Z32))^12-1,0)</f>
        <v>0</v>
      </c>
      <c r="D38" s="5" t="str">
        <f>"(target: &gt; "&amp;TEXT(CHOOSE($C$6,'1. Assumptions'!C35,'1. Assumptions'!D35,'1. Assumptions'!E35),"0.0%")&amp;")"</f>
        <v>(target: &gt; 20.0%)</v>
      </c>
    </row>
    <row r="39" spans="2:4">
      <c r="B39" s="17" t="s">
        <v>132</v>
      </c>
      <c r="C39" s="25" t="str">
        <f>IFERROR(MATCH(TRUE(),INDEX(C41:Z41&gt;=0,0),0),"&gt; 24")</f>
        <v>&gt; 24</v>
      </c>
      <c r="D39" s="5" t="str">
        <f>"(target: &lt; 24)"</f>
        <v>(target: &lt; 24)</v>
      </c>
    </row>
    <row r="40" spans="2:4">
      <c r="B40" s="17" t="s">
        <v>133</v>
      </c>
      <c r="C40" s="25">
        <f>IFERROR(MATCH(TRUE(),INDEX(C33:Z33&lt;0,0),0)-1,"&gt;= 24")</f>
        <v>20</v>
      </c>
      <c r="D40" s="5" t="str">
        <f>"(target: &gt;= 12)"</f>
        <v>(target: &gt;= 12)</v>
      </c>
    </row>
    <row r="41" spans="2:26">
      <c r="B41" s="26" t="s">
        <v>134</v>
      </c>
      <c r="C41" s="27">
        <f>C32</f>
        <v>-601304000</v>
      </c>
      <c r="D41" s="27">
        <f t="shared" ref="D41:Z41" si="5">C41+D32</f>
        <v>-687906400</v>
      </c>
      <c r="E41" s="27">
        <f t="shared" si="5"/>
        <v>-762012440</v>
      </c>
      <c r="F41" s="27">
        <f t="shared" si="5"/>
        <v>-825496574</v>
      </c>
      <c r="G41" s="27">
        <f t="shared" si="5"/>
        <v>-879952087.9</v>
      </c>
      <c r="H41" s="27">
        <f t="shared" si="5"/>
        <v>-926733274.715</v>
      </c>
      <c r="I41" s="27">
        <f t="shared" si="5"/>
        <v>-966991283.50775</v>
      </c>
      <c r="J41" s="27">
        <f t="shared" si="5"/>
        <v>-1001704590.98159</v>
      </c>
      <c r="K41" s="27">
        <f t="shared" si="5"/>
        <v>-1031704902.33435</v>
      </c>
      <c r="L41" s="27">
        <f t="shared" si="5"/>
        <v>-1057699166.9842</v>
      </c>
      <c r="M41" s="27">
        <f t="shared" si="5"/>
        <v>-1080288291.93657</v>
      </c>
      <c r="N41" s="27">
        <f t="shared" si="5"/>
        <v>-1099983048.14608</v>
      </c>
      <c r="O41" s="27">
        <f t="shared" si="5"/>
        <v>-1117217590.92417</v>
      </c>
      <c r="P41" s="27">
        <f t="shared" si="5"/>
        <v>-1132360952.28554</v>
      </c>
      <c r="Q41" s="27">
        <f t="shared" si="5"/>
        <v>-1145726809.44271</v>
      </c>
      <c r="R41" s="27">
        <f t="shared" si="5"/>
        <v>-1157581788.02631</v>
      </c>
      <c r="S41" s="27">
        <f t="shared" si="5"/>
        <v>-1168152519.82236</v>
      </c>
      <c r="T41" s="27">
        <f t="shared" si="5"/>
        <v>-1177631641.84901</v>
      </c>
      <c r="U41" s="27">
        <f t="shared" si="5"/>
        <v>-1186182895.57166</v>
      </c>
      <c r="V41" s="27">
        <f t="shared" si="5"/>
        <v>-1193945461.23591</v>
      </c>
      <c r="W41" s="27">
        <f t="shared" si="5"/>
        <v>-1201037642.05052</v>
      </c>
      <c r="X41" s="27">
        <f t="shared" si="5"/>
        <v>-1207559995.74294</v>
      </c>
      <c r="Y41" s="27">
        <f t="shared" si="5"/>
        <v>-1213597996.3815</v>
      </c>
      <c r="Z41" s="27">
        <f t="shared" si="5"/>
        <v>-1219224296.92428</v>
      </c>
    </row>
    <row r="43" spans="2:10">
      <c r="B43" s="10" t="s">
        <v>135</v>
      </c>
      <c r="C43" s="10"/>
      <c r="D43" s="10"/>
      <c r="E43" s="10"/>
      <c r="F43" s="10"/>
      <c r="G43" s="10"/>
      <c r="H43" s="10"/>
      <c r="I43" s="10"/>
      <c r="J43" s="10"/>
    </row>
    <row r="44" ht="17.6" spans="2:10">
      <c r="B44" s="17" t="s">
        <v>136</v>
      </c>
      <c r="C44" s="28" t="str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>✗ NO-GO — NPV âm: dự án không tạo giá trị</v>
      </c>
      <c r="D44" s="28"/>
      <c r="E44" s="28"/>
      <c r="F44" s="28"/>
      <c r="G44" s="28"/>
      <c r="H44" s="28"/>
      <c r="I44" s="28"/>
      <c r="J44" s="28"/>
    </row>
  </sheetData>
  <mergeCells count="6">
    <mergeCell ref="B2:H2"/>
    <mergeCell ref="D4:H4"/>
    <mergeCell ref="B20:AA20"/>
    <mergeCell ref="B36:J36"/>
    <mergeCell ref="B43:J43"/>
    <mergeCell ref="C44:J44"/>
  </mergeCells>
  <conditionalFormatting sqref="C33">
    <cfRule type="cellIs" dxfId="3" priority="2" operator="lessThan">
      <formula>0</formula>
    </cfRule>
  </conditionalFormatting>
  <conditionalFormatting sqref="D33">
    <cfRule type="cellIs" dxfId="3" priority="3" operator="lessThan">
      <formula>0</formula>
    </cfRule>
  </conditionalFormatting>
  <conditionalFormatting sqref="E33">
    <cfRule type="cellIs" dxfId="3" priority="4" operator="lessThan">
      <formula>0</formula>
    </cfRule>
  </conditionalFormatting>
  <conditionalFormatting sqref="F33">
    <cfRule type="cellIs" dxfId="3" priority="5" operator="lessThan">
      <formula>0</formula>
    </cfRule>
  </conditionalFormatting>
  <conditionalFormatting sqref="G33">
    <cfRule type="cellIs" dxfId="3" priority="6" operator="lessThan">
      <formula>0</formula>
    </cfRule>
  </conditionalFormatting>
  <conditionalFormatting sqref="H33">
    <cfRule type="cellIs" dxfId="3" priority="7" operator="lessThan">
      <formula>0</formula>
    </cfRule>
  </conditionalFormatting>
  <conditionalFormatting sqref="I33">
    <cfRule type="cellIs" dxfId="3" priority="8" operator="lessThan">
      <formula>0</formula>
    </cfRule>
  </conditionalFormatting>
  <conditionalFormatting sqref="J33">
    <cfRule type="cellIs" dxfId="3" priority="9" operator="lessThan">
      <formula>0</formula>
    </cfRule>
  </conditionalFormatting>
  <conditionalFormatting sqref="K33">
    <cfRule type="cellIs" dxfId="3" priority="10" operator="lessThan">
      <formula>0</formula>
    </cfRule>
  </conditionalFormatting>
  <conditionalFormatting sqref="L33">
    <cfRule type="cellIs" dxfId="3" priority="11" operator="lessThan">
      <formula>0</formula>
    </cfRule>
  </conditionalFormatting>
  <conditionalFormatting sqref="M33">
    <cfRule type="cellIs" dxfId="3" priority="12" operator="lessThan">
      <formula>0</formula>
    </cfRule>
  </conditionalFormatting>
  <conditionalFormatting sqref="N33">
    <cfRule type="cellIs" dxfId="3" priority="13" operator="lessThan">
      <formula>0</formula>
    </cfRule>
  </conditionalFormatting>
  <conditionalFormatting sqref="O33">
    <cfRule type="cellIs" dxfId="3" priority="14" operator="lessThan">
      <formula>0</formula>
    </cfRule>
  </conditionalFormatting>
  <conditionalFormatting sqref="P33">
    <cfRule type="cellIs" dxfId="3" priority="15" operator="lessThan">
      <formula>0</formula>
    </cfRule>
  </conditionalFormatting>
  <conditionalFormatting sqref="Q33">
    <cfRule type="cellIs" dxfId="3" priority="16" operator="lessThan">
      <formula>0</formula>
    </cfRule>
  </conditionalFormatting>
  <conditionalFormatting sqref="R33">
    <cfRule type="cellIs" dxfId="3" priority="17" operator="lessThan">
      <formula>0</formula>
    </cfRule>
  </conditionalFormatting>
  <conditionalFormatting sqref="S33">
    <cfRule type="cellIs" dxfId="3" priority="18" operator="lessThan">
      <formula>0</formula>
    </cfRule>
  </conditionalFormatting>
  <conditionalFormatting sqref="T33">
    <cfRule type="cellIs" dxfId="3" priority="19" operator="lessThan">
      <formula>0</formula>
    </cfRule>
  </conditionalFormatting>
  <conditionalFormatting sqref="U33">
    <cfRule type="cellIs" dxfId="3" priority="20" operator="lessThan">
      <formula>0</formula>
    </cfRule>
  </conditionalFormatting>
  <conditionalFormatting sqref="V33">
    <cfRule type="cellIs" dxfId="3" priority="21" operator="lessThan">
      <formula>0</formula>
    </cfRule>
  </conditionalFormatting>
  <conditionalFormatting sqref="W33">
    <cfRule type="cellIs" dxfId="3" priority="22" operator="lessThan">
      <formula>0</formula>
    </cfRule>
  </conditionalFormatting>
  <conditionalFormatting sqref="X33">
    <cfRule type="cellIs" dxfId="3" priority="23" operator="lessThan">
      <formula>0</formula>
    </cfRule>
  </conditionalFormatting>
  <conditionalFormatting sqref="Y33">
    <cfRule type="cellIs" dxfId="3" priority="24" operator="lessThan">
      <formula>0</formula>
    </cfRule>
  </conditionalFormatting>
  <conditionalFormatting sqref="Z33">
    <cfRule type="cellIs" dxfId="3" priority="25" operator="lessThan">
      <formula>0</formula>
    </cfRule>
  </conditionalFormatting>
  <conditionalFormatting sqref="C37">
    <cfRule type="cellIs" dxfId="4" priority="26" operator="greaterThan">
      <formula>0</formula>
    </cfRule>
    <cfRule type="cellIs" dxfId="5" priority="27" operator="lessThanOrEqual">
      <formula>0</formula>
    </cfRule>
  </conditionalFormatting>
  <conditionalFormatting sqref="C38">
    <cfRule type="expression" dxfId="4" priority="28">
      <formula>C38&gt;CHOOSE($C$6,'1. Assumptions'!C35,'1. Assumptions'!D35,'1. Assumptions'!E35)</formula>
    </cfRule>
    <cfRule type="expression" dxfId="5" priority="29">
      <formula>C38&lt;=CHOOSE($C$6,'1. Assumptions'!C35,'1. Assumptions'!D35,'1. Assumptions'!E35)</formula>
    </cfRule>
  </conditionalFormatting>
  <conditionalFormatting sqref="C40">
    <cfRule type="expression" dxfId="5" priority="30">
      <formula>AND(ISNUMBER(C40),C40&lt;12)</formula>
    </cfRule>
  </conditionalFormatting>
  <dataValidations count="1">
    <dataValidation type="list" sqref="C4">
      <formula1>"Optimistic,Base,Pessimistic"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 Assumptions</vt:lpstr>
      <vt:lpstr>2. Unit Economics</vt:lpstr>
      <vt:lpstr>3. P&amp;L &amp; ROI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Quyền Đàm Bá</cp:lastModifiedBy>
  <cp:revision>0</cp:revision>
  <dcterms:created xsi:type="dcterms:W3CDTF">2026-05-03T22:07:00Z</dcterms:created>
  <dcterms:modified xsi:type="dcterms:W3CDTF">2026-05-04T16:29:45Z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9F7AB3F7979B97FA0967F869EA163140_42</vt:lpwstr>
  </property>
  <property fmtid="{D5CDD505-2E9C-101B-9397-08002B2CF9AE}" pid="3" name="KSOProductBuildVer">
    <vt:lpwstr>1033-12.1.23135.23135</vt:lpwstr>
  </property>
</Properties>
</file>